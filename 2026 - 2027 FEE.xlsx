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8AA151B7-FEDC-401E-BF98-A24C0BDECEB3}" xr6:coauthVersionLast="47" xr6:coauthVersionMax="47" xr10:uidLastSave="{00000000-0000-0000-0000-000000000000}"/>
  <bookViews>
    <workbookView xWindow="-120" yWindow="-120" windowWidth="24240" windowHeight="13020" tabRatio="781" activeTab="1" xr2:uid="{00000000-000D-0000-FFFF-FFFF00000000}"/>
  </bookViews>
  <sheets>
    <sheet name="1ST TERM ACCOUNT" sheetId="14" r:id="rId1"/>
    <sheet name="1ST TERM PAY LOG" sheetId="13" r:id="rId2"/>
    <sheet name="1ST TERM REMIT" sheetId="12" r:id="rId3"/>
  </sheets>
  <definedNames>
    <definedName name="_xlnm._FilterDatabase" localSheetId="0" hidden="1">'1ST TERM ACCOUNT'!$A$1:$AE$136</definedName>
    <definedName name="_xlnm.Print_Titles" localSheetId="0">'1ST TERM ACCOUNT'!$1:$1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4" i="14" l="1"/>
  <c r="AA20" i="14"/>
  <c r="O59" i="14"/>
  <c r="P4" i="14"/>
  <c r="O4" i="14"/>
  <c r="P127" i="14"/>
  <c r="P88" i="14"/>
  <c r="P48" i="14"/>
  <c r="P46" i="14"/>
  <c r="P32" i="14"/>
  <c r="P13" i="14"/>
  <c r="P132" i="14"/>
  <c r="O132" i="14"/>
  <c r="P110" i="14"/>
  <c r="P47" i="14"/>
  <c r="P44" i="14"/>
  <c r="O44" i="14"/>
  <c r="P23" i="14"/>
  <c r="P86" i="14"/>
  <c r="O86" i="14"/>
  <c r="P71" i="14"/>
  <c r="P12" i="14"/>
  <c r="O12" i="14"/>
  <c r="O34" i="14"/>
  <c r="N96" i="14"/>
  <c r="M96" i="14"/>
  <c r="L96" i="14"/>
  <c r="K96" i="14"/>
  <c r="J96" i="14"/>
  <c r="Z96" i="14" s="1"/>
  <c r="AB96" i="14" s="1"/>
  <c r="J90" i="14"/>
  <c r="K90" i="14"/>
  <c r="L90" i="14"/>
  <c r="M90" i="14"/>
  <c r="N90" i="14"/>
  <c r="J114" i="14"/>
  <c r="K114" i="14"/>
  <c r="L114" i="14"/>
  <c r="M114" i="14"/>
  <c r="N114" i="14"/>
  <c r="J100" i="14"/>
  <c r="K100" i="14"/>
  <c r="L100" i="14"/>
  <c r="M100" i="14"/>
  <c r="N100" i="14"/>
  <c r="Z100" i="14"/>
  <c r="AB100" i="14"/>
  <c r="AE100" i="14" s="1"/>
  <c r="J41" i="14"/>
  <c r="K41" i="14"/>
  <c r="L41" i="14"/>
  <c r="M41" i="14"/>
  <c r="N41" i="14"/>
  <c r="Z41" i="14"/>
  <c r="AB41" i="14"/>
  <c r="AC41" i="14" s="1"/>
  <c r="AD41" i="14"/>
  <c r="AE41" i="14"/>
  <c r="J84" i="14"/>
  <c r="K84" i="14"/>
  <c r="L84" i="14"/>
  <c r="M84" i="14"/>
  <c r="N84" i="14"/>
  <c r="J69" i="14"/>
  <c r="K69" i="14"/>
  <c r="L69" i="14"/>
  <c r="M69" i="14"/>
  <c r="N69" i="14"/>
  <c r="O137" i="14"/>
  <c r="P137" i="14"/>
  <c r="Q137" i="14"/>
  <c r="R137" i="14"/>
  <c r="S137" i="14"/>
  <c r="T137" i="14"/>
  <c r="U137" i="14"/>
  <c r="V137" i="14"/>
  <c r="W137" i="14"/>
  <c r="X137" i="14"/>
  <c r="Y137" i="14"/>
  <c r="AF137" i="14"/>
  <c r="AA137" i="14"/>
  <c r="J53" i="14"/>
  <c r="K53" i="14"/>
  <c r="L53" i="14"/>
  <c r="M53" i="14"/>
  <c r="N53" i="14"/>
  <c r="J54" i="14"/>
  <c r="K54" i="14"/>
  <c r="L54" i="14"/>
  <c r="M54" i="14"/>
  <c r="N54" i="14"/>
  <c r="J55" i="14"/>
  <c r="K55" i="14"/>
  <c r="L55" i="14"/>
  <c r="M55" i="14"/>
  <c r="N55" i="14"/>
  <c r="J56" i="14"/>
  <c r="K56" i="14"/>
  <c r="L56" i="14"/>
  <c r="M56" i="14"/>
  <c r="N56" i="14"/>
  <c r="J57" i="14"/>
  <c r="K57" i="14"/>
  <c r="L57" i="14"/>
  <c r="M57" i="14"/>
  <c r="N57" i="14"/>
  <c r="J58" i="14"/>
  <c r="K58" i="14"/>
  <c r="L58" i="14"/>
  <c r="M58" i="14"/>
  <c r="N58" i="14"/>
  <c r="J59" i="14"/>
  <c r="K59" i="14"/>
  <c r="L59" i="14"/>
  <c r="M59" i="14"/>
  <c r="N59" i="14"/>
  <c r="J60" i="14"/>
  <c r="K60" i="14"/>
  <c r="L60" i="14"/>
  <c r="M60" i="14"/>
  <c r="N60" i="14"/>
  <c r="J61" i="14"/>
  <c r="K61" i="14"/>
  <c r="L61" i="14"/>
  <c r="M61" i="14"/>
  <c r="N61" i="14"/>
  <c r="J62" i="14"/>
  <c r="K62" i="14"/>
  <c r="L62" i="14"/>
  <c r="M62" i="14"/>
  <c r="N62" i="14"/>
  <c r="J63" i="14"/>
  <c r="K63" i="14"/>
  <c r="L63" i="14"/>
  <c r="M63" i="14"/>
  <c r="N63" i="14"/>
  <c r="J64" i="14"/>
  <c r="K64" i="14"/>
  <c r="L64" i="14"/>
  <c r="M64" i="14"/>
  <c r="N64" i="14"/>
  <c r="J65" i="14"/>
  <c r="K65" i="14"/>
  <c r="L65" i="14"/>
  <c r="M65" i="14"/>
  <c r="N65" i="14"/>
  <c r="J66" i="14"/>
  <c r="K66" i="14"/>
  <c r="L66" i="14"/>
  <c r="M66" i="14"/>
  <c r="N66" i="14"/>
  <c r="J67" i="14"/>
  <c r="K67" i="14"/>
  <c r="L67" i="14"/>
  <c r="M67" i="14"/>
  <c r="N67" i="14"/>
  <c r="J68" i="14"/>
  <c r="K68" i="14"/>
  <c r="L68" i="14"/>
  <c r="M68" i="14"/>
  <c r="N68" i="14"/>
  <c r="J70" i="14"/>
  <c r="K70" i="14"/>
  <c r="L70" i="14"/>
  <c r="M70" i="14"/>
  <c r="N70" i="14"/>
  <c r="J71" i="14"/>
  <c r="K71" i="14"/>
  <c r="L71" i="14"/>
  <c r="M71" i="14"/>
  <c r="N71" i="14"/>
  <c r="J72" i="14"/>
  <c r="K72" i="14"/>
  <c r="L72" i="14"/>
  <c r="M72" i="14"/>
  <c r="N72" i="14"/>
  <c r="J73" i="14"/>
  <c r="K73" i="14"/>
  <c r="L73" i="14"/>
  <c r="M73" i="14"/>
  <c r="N73" i="14"/>
  <c r="J74" i="14"/>
  <c r="K74" i="14"/>
  <c r="L74" i="14"/>
  <c r="M74" i="14"/>
  <c r="N74" i="14"/>
  <c r="J75" i="14"/>
  <c r="K75" i="14"/>
  <c r="L75" i="14"/>
  <c r="M75" i="14"/>
  <c r="N75" i="14"/>
  <c r="J76" i="14"/>
  <c r="K76" i="14"/>
  <c r="L76" i="14"/>
  <c r="M76" i="14"/>
  <c r="N76" i="14"/>
  <c r="J77" i="14"/>
  <c r="K77" i="14"/>
  <c r="L77" i="14"/>
  <c r="M77" i="14"/>
  <c r="N77" i="14"/>
  <c r="J78" i="14"/>
  <c r="K78" i="14"/>
  <c r="L78" i="14"/>
  <c r="M78" i="14"/>
  <c r="N78" i="14"/>
  <c r="J79" i="14"/>
  <c r="K79" i="14"/>
  <c r="L79" i="14"/>
  <c r="M79" i="14"/>
  <c r="N79" i="14"/>
  <c r="J80" i="14"/>
  <c r="K80" i="14"/>
  <c r="L80" i="14"/>
  <c r="M80" i="14"/>
  <c r="N80" i="14"/>
  <c r="J81" i="14"/>
  <c r="K81" i="14"/>
  <c r="L81" i="14"/>
  <c r="M81" i="14"/>
  <c r="N81" i="14"/>
  <c r="J82" i="14"/>
  <c r="K82" i="14"/>
  <c r="L82" i="14"/>
  <c r="M82" i="14"/>
  <c r="N82" i="14"/>
  <c r="J83" i="14"/>
  <c r="K83" i="14"/>
  <c r="L83" i="14"/>
  <c r="M83" i="14"/>
  <c r="N83" i="14"/>
  <c r="J85" i="14"/>
  <c r="K85" i="14"/>
  <c r="L85" i="14"/>
  <c r="M85" i="14"/>
  <c r="N85" i="14"/>
  <c r="J86" i="14"/>
  <c r="K86" i="14"/>
  <c r="L86" i="14"/>
  <c r="M86" i="14"/>
  <c r="N86" i="14"/>
  <c r="J87" i="14"/>
  <c r="K87" i="14"/>
  <c r="L87" i="14"/>
  <c r="M87" i="14"/>
  <c r="N87" i="14"/>
  <c r="J88" i="14"/>
  <c r="K88" i="14"/>
  <c r="L88" i="14"/>
  <c r="M88" i="14"/>
  <c r="N88" i="14"/>
  <c r="J89" i="14"/>
  <c r="K89" i="14"/>
  <c r="L89" i="14"/>
  <c r="M89" i="14"/>
  <c r="N89" i="14"/>
  <c r="J91" i="14"/>
  <c r="K91" i="14"/>
  <c r="L91" i="14"/>
  <c r="M91" i="14"/>
  <c r="N91" i="14"/>
  <c r="J92" i="14"/>
  <c r="K92" i="14"/>
  <c r="L92" i="14"/>
  <c r="M92" i="14"/>
  <c r="N92" i="14"/>
  <c r="J93" i="14"/>
  <c r="K93" i="14"/>
  <c r="L93" i="14"/>
  <c r="M93" i="14"/>
  <c r="N93" i="14"/>
  <c r="J94" i="14"/>
  <c r="K94" i="14"/>
  <c r="L94" i="14"/>
  <c r="M94" i="14"/>
  <c r="N94" i="14"/>
  <c r="J95" i="14"/>
  <c r="K95" i="14"/>
  <c r="L95" i="14"/>
  <c r="M95" i="14"/>
  <c r="N95" i="14"/>
  <c r="J97" i="14"/>
  <c r="K97" i="14"/>
  <c r="L97" i="14"/>
  <c r="M97" i="14"/>
  <c r="N97" i="14"/>
  <c r="J98" i="14"/>
  <c r="K98" i="14"/>
  <c r="L98" i="14"/>
  <c r="M98" i="14"/>
  <c r="N98" i="14"/>
  <c r="J99" i="14"/>
  <c r="K99" i="14"/>
  <c r="L99" i="14"/>
  <c r="M99" i="14"/>
  <c r="N99" i="14"/>
  <c r="J101" i="14"/>
  <c r="K101" i="14"/>
  <c r="L101" i="14"/>
  <c r="M101" i="14"/>
  <c r="N101" i="14"/>
  <c r="J102" i="14"/>
  <c r="K102" i="14"/>
  <c r="L102" i="14"/>
  <c r="M102" i="14"/>
  <c r="N102" i="14"/>
  <c r="J103" i="14"/>
  <c r="K103" i="14"/>
  <c r="L103" i="14"/>
  <c r="M103" i="14"/>
  <c r="N103" i="14"/>
  <c r="J104" i="14"/>
  <c r="K104" i="14"/>
  <c r="L104" i="14"/>
  <c r="M104" i="14"/>
  <c r="N104" i="14"/>
  <c r="J105" i="14"/>
  <c r="K105" i="14"/>
  <c r="L105" i="14"/>
  <c r="M105" i="14"/>
  <c r="N105" i="14"/>
  <c r="J106" i="14"/>
  <c r="K106" i="14"/>
  <c r="L106" i="14"/>
  <c r="M106" i="14"/>
  <c r="N106" i="14"/>
  <c r="Z106" i="14" s="1"/>
  <c r="AB106" i="14" s="1"/>
  <c r="J107" i="14"/>
  <c r="K107" i="14"/>
  <c r="L107" i="14"/>
  <c r="M107" i="14"/>
  <c r="N107" i="14"/>
  <c r="J108" i="14"/>
  <c r="K108" i="14"/>
  <c r="L108" i="14"/>
  <c r="M108" i="14"/>
  <c r="N108" i="14"/>
  <c r="J109" i="14"/>
  <c r="K109" i="14"/>
  <c r="L109" i="14"/>
  <c r="M109" i="14"/>
  <c r="N109" i="14"/>
  <c r="J110" i="14"/>
  <c r="K110" i="14"/>
  <c r="L110" i="14"/>
  <c r="M110" i="14"/>
  <c r="N110" i="14"/>
  <c r="J111" i="14"/>
  <c r="K111" i="14"/>
  <c r="L111" i="14"/>
  <c r="M111" i="14"/>
  <c r="N111" i="14"/>
  <c r="J112" i="14"/>
  <c r="K112" i="14"/>
  <c r="L112" i="14"/>
  <c r="M112" i="14"/>
  <c r="N112" i="14"/>
  <c r="J113" i="14"/>
  <c r="K113" i="14"/>
  <c r="L113" i="14"/>
  <c r="M113" i="14"/>
  <c r="N113" i="14"/>
  <c r="J115" i="14"/>
  <c r="K115" i="14"/>
  <c r="L115" i="14"/>
  <c r="M115" i="14"/>
  <c r="N115" i="14"/>
  <c r="J116" i="14"/>
  <c r="K116" i="14"/>
  <c r="L116" i="14"/>
  <c r="M116" i="14"/>
  <c r="N116" i="14"/>
  <c r="J117" i="14"/>
  <c r="K117" i="14"/>
  <c r="L117" i="14"/>
  <c r="M117" i="14"/>
  <c r="N117" i="14"/>
  <c r="J118" i="14"/>
  <c r="K118" i="14"/>
  <c r="L118" i="14"/>
  <c r="M118" i="14"/>
  <c r="N118" i="14"/>
  <c r="J119" i="14"/>
  <c r="K119" i="14"/>
  <c r="L119" i="14"/>
  <c r="M119" i="14"/>
  <c r="N119" i="14"/>
  <c r="J120" i="14"/>
  <c r="K120" i="14"/>
  <c r="L120" i="14"/>
  <c r="M120" i="14"/>
  <c r="N120" i="14"/>
  <c r="J121" i="14"/>
  <c r="K121" i="14"/>
  <c r="L121" i="14"/>
  <c r="M121" i="14"/>
  <c r="N121" i="14"/>
  <c r="J122" i="14"/>
  <c r="K122" i="14"/>
  <c r="L122" i="14"/>
  <c r="M122" i="14"/>
  <c r="N122" i="14"/>
  <c r="J123" i="14"/>
  <c r="K123" i="14"/>
  <c r="L123" i="14"/>
  <c r="M123" i="14"/>
  <c r="N123" i="14"/>
  <c r="J124" i="14"/>
  <c r="K124" i="14"/>
  <c r="L124" i="14"/>
  <c r="M124" i="14"/>
  <c r="N124" i="14"/>
  <c r="J125" i="14"/>
  <c r="K125" i="14"/>
  <c r="L125" i="14"/>
  <c r="M125" i="14"/>
  <c r="N125" i="14"/>
  <c r="J126" i="14"/>
  <c r="K126" i="14"/>
  <c r="L126" i="14"/>
  <c r="M126" i="14"/>
  <c r="N126" i="14"/>
  <c r="J127" i="14"/>
  <c r="K127" i="14"/>
  <c r="L127" i="14"/>
  <c r="M127" i="14"/>
  <c r="N127" i="14"/>
  <c r="J128" i="14"/>
  <c r="K128" i="14"/>
  <c r="L128" i="14"/>
  <c r="M128" i="14"/>
  <c r="N128" i="14"/>
  <c r="J129" i="14"/>
  <c r="K129" i="14"/>
  <c r="L129" i="14"/>
  <c r="M129" i="14"/>
  <c r="N129" i="14"/>
  <c r="J130" i="14"/>
  <c r="K130" i="14"/>
  <c r="L130" i="14"/>
  <c r="M130" i="14"/>
  <c r="N130" i="14"/>
  <c r="J131" i="14"/>
  <c r="K131" i="14"/>
  <c r="L131" i="14"/>
  <c r="M131" i="14"/>
  <c r="N131" i="14"/>
  <c r="J132" i="14"/>
  <c r="K132" i="14"/>
  <c r="L132" i="14"/>
  <c r="M132" i="14"/>
  <c r="N132" i="14"/>
  <c r="J133" i="14"/>
  <c r="K133" i="14"/>
  <c r="L133" i="14"/>
  <c r="M133" i="14"/>
  <c r="N133" i="14"/>
  <c r="J134" i="14"/>
  <c r="K134" i="14"/>
  <c r="L134" i="14"/>
  <c r="M134" i="14"/>
  <c r="N134" i="14"/>
  <c r="J135" i="14"/>
  <c r="K135" i="14"/>
  <c r="L135" i="14"/>
  <c r="M135" i="14"/>
  <c r="N135" i="14"/>
  <c r="J136" i="14"/>
  <c r="K136" i="14"/>
  <c r="L136" i="14"/>
  <c r="M136" i="14"/>
  <c r="N136" i="14"/>
  <c r="J3" i="14"/>
  <c r="K3" i="14"/>
  <c r="L3" i="14"/>
  <c r="M3" i="14"/>
  <c r="N3" i="14"/>
  <c r="J4" i="14"/>
  <c r="K4" i="14"/>
  <c r="L4" i="14"/>
  <c r="M4" i="14"/>
  <c r="N4" i="14"/>
  <c r="J5" i="14"/>
  <c r="K5" i="14"/>
  <c r="L5" i="14"/>
  <c r="M5" i="14"/>
  <c r="N5" i="14"/>
  <c r="J6" i="14"/>
  <c r="K6" i="14"/>
  <c r="L6" i="14"/>
  <c r="M6" i="14"/>
  <c r="N6" i="14"/>
  <c r="J7" i="14"/>
  <c r="K7" i="14"/>
  <c r="L7" i="14"/>
  <c r="M7" i="14"/>
  <c r="N7" i="14"/>
  <c r="J8" i="14"/>
  <c r="K8" i="14"/>
  <c r="L8" i="14"/>
  <c r="M8" i="14"/>
  <c r="N8" i="14"/>
  <c r="J9" i="14"/>
  <c r="K9" i="14"/>
  <c r="L9" i="14"/>
  <c r="M9" i="14"/>
  <c r="N9" i="14"/>
  <c r="J10" i="14"/>
  <c r="K10" i="14"/>
  <c r="L10" i="14"/>
  <c r="M10" i="14"/>
  <c r="N10" i="14"/>
  <c r="J11" i="14"/>
  <c r="K11" i="14"/>
  <c r="L11" i="14"/>
  <c r="M11" i="14"/>
  <c r="N11" i="14"/>
  <c r="J12" i="14"/>
  <c r="K12" i="14"/>
  <c r="L12" i="14"/>
  <c r="M12" i="14"/>
  <c r="N12" i="14"/>
  <c r="J13" i="14"/>
  <c r="K13" i="14"/>
  <c r="L13" i="14"/>
  <c r="M13" i="14"/>
  <c r="N13" i="14"/>
  <c r="J14" i="14"/>
  <c r="K14" i="14"/>
  <c r="L14" i="14"/>
  <c r="M14" i="14"/>
  <c r="N14" i="14"/>
  <c r="J15" i="14"/>
  <c r="K15" i="14"/>
  <c r="L15" i="14"/>
  <c r="M15" i="14"/>
  <c r="N15" i="14"/>
  <c r="J16" i="14"/>
  <c r="K16" i="14"/>
  <c r="L16" i="14"/>
  <c r="M16" i="14"/>
  <c r="N16" i="14"/>
  <c r="J17" i="14"/>
  <c r="K17" i="14"/>
  <c r="L17" i="14"/>
  <c r="M17" i="14"/>
  <c r="N17" i="14"/>
  <c r="J18" i="14"/>
  <c r="K18" i="14"/>
  <c r="L18" i="14"/>
  <c r="M18" i="14"/>
  <c r="N18" i="14"/>
  <c r="J19" i="14"/>
  <c r="K19" i="14"/>
  <c r="L19" i="14"/>
  <c r="M19" i="14"/>
  <c r="N19" i="14"/>
  <c r="J20" i="14"/>
  <c r="K20" i="14"/>
  <c r="L20" i="14"/>
  <c r="M20" i="14"/>
  <c r="N20" i="14"/>
  <c r="J21" i="14"/>
  <c r="K21" i="14"/>
  <c r="L21" i="14"/>
  <c r="M21" i="14"/>
  <c r="N21" i="14"/>
  <c r="J22" i="14"/>
  <c r="K22" i="14"/>
  <c r="L22" i="14"/>
  <c r="M22" i="14"/>
  <c r="N22" i="14"/>
  <c r="J23" i="14"/>
  <c r="K23" i="14"/>
  <c r="L23" i="14"/>
  <c r="M23" i="14"/>
  <c r="N23" i="14"/>
  <c r="J24" i="14"/>
  <c r="K24" i="14"/>
  <c r="L24" i="14"/>
  <c r="M24" i="14"/>
  <c r="N24" i="14"/>
  <c r="J25" i="14"/>
  <c r="K25" i="14"/>
  <c r="L25" i="14"/>
  <c r="M25" i="14"/>
  <c r="N25" i="14"/>
  <c r="J26" i="14"/>
  <c r="K26" i="14"/>
  <c r="L26" i="14"/>
  <c r="M26" i="14"/>
  <c r="N26" i="14"/>
  <c r="J27" i="14"/>
  <c r="K27" i="14"/>
  <c r="L27" i="14"/>
  <c r="M27" i="14"/>
  <c r="N27" i="14"/>
  <c r="J28" i="14"/>
  <c r="K28" i="14"/>
  <c r="L28" i="14"/>
  <c r="M28" i="14"/>
  <c r="N28" i="14"/>
  <c r="J29" i="14"/>
  <c r="K29" i="14"/>
  <c r="L29" i="14"/>
  <c r="M29" i="14"/>
  <c r="N29" i="14"/>
  <c r="J30" i="14"/>
  <c r="K30" i="14"/>
  <c r="L30" i="14"/>
  <c r="M30" i="14"/>
  <c r="N30" i="14"/>
  <c r="J31" i="14"/>
  <c r="K31" i="14"/>
  <c r="L31" i="14"/>
  <c r="M31" i="14"/>
  <c r="N31" i="14"/>
  <c r="J32" i="14"/>
  <c r="K32" i="14"/>
  <c r="L32" i="14"/>
  <c r="M32" i="14"/>
  <c r="N32" i="14"/>
  <c r="J33" i="14"/>
  <c r="K33" i="14"/>
  <c r="L33" i="14"/>
  <c r="M33" i="14"/>
  <c r="N33" i="14"/>
  <c r="J34" i="14"/>
  <c r="K34" i="14"/>
  <c r="L34" i="14"/>
  <c r="M34" i="14"/>
  <c r="N34" i="14"/>
  <c r="J35" i="14"/>
  <c r="K35" i="14"/>
  <c r="L35" i="14"/>
  <c r="M35" i="14"/>
  <c r="N35" i="14"/>
  <c r="J36" i="14"/>
  <c r="K36" i="14"/>
  <c r="L36" i="14"/>
  <c r="M36" i="14"/>
  <c r="N36" i="14"/>
  <c r="J37" i="14"/>
  <c r="K37" i="14"/>
  <c r="L37" i="14"/>
  <c r="M37" i="14"/>
  <c r="N37" i="14"/>
  <c r="J38" i="14"/>
  <c r="K38" i="14"/>
  <c r="L38" i="14"/>
  <c r="M38" i="14"/>
  <c r="N38" i="14"/>
  <c r="J39" i="14"/>
  <c r="K39" i="14"/>
  <c r="L39" i="14"/>
  <c r="M39" i="14"/>
  <c r="N39" i="14"/>
  <c r="J40" i="14"/>
  <c r="K40" i="14"/>
  <c r="L40" i="14"/>
  <c r="M40" i="14"/>
  <c r="N40" i="14"/>
  <c r="J42" i="14"/>
  <c r="K42" i="14"/>
  <c r="L42" i="14"/>
  <c r="M42" i="14"/>
  <c r="N42" i="14"/>
  <c r="J43" i="14"/>
  <c r="K43" i="14"/>
  <c r="L43" i="14"/>
  <c r="M43" i="14"/>
  <c r="N43" i="14"/>
  <c r="J44" i="14"/>
  <c r="K44" i="14"/>
  <c r="L44" i="14"/>
  <c r="M44" i="14"/>
  <c r="N44" i="14"/>
  <c r="J45" i="14"/>
  <c r="K45" i="14"/>
  <c r="L45" i="14"/>
  <c r="M45" i="14"/>
  <c r="N45" i="14"/>
  <c r="J46" i="14"/>
  <c r="K46" i="14"/>
  <c r="L46" i="14"/>
  <c r="M46" i="14"/>
  <c r="N46" i="14"/>
  <c r="J47" i="14"/>
  <c r="K47" i="14"/>
  <c r="L47" i="14"/>
  <c r="M47" i="14"/>
  <c r="N47" i="14"/>
  <c r="J48" i="14"/>
  <c r="K48" i="14"/>
  <c r="L48" i="14"/>
  <c r="M48" i="14"/>
  <c r="N48" i="14"/>
  <c r="J49" i="14"/>
  <c r="K49" i="14"/>
  <c r="L49" i="14"/>
  <c r="M49" i="14"/>
  <c r="N49" i="14"/>
  <c r="J50" i="14"/>
  <c r="K50" i="14"/>
  <c r="L50" i="14"/>
  <c r="M50" i="14"/>
  <c r="N50" i="14"/>
  <c r="J51" i="14"/>
  <c r="K51" i="14"/>
  <c r="L51" i="14"/>
  <c r="M51" i="14"/>
  <c r="N51" i="14"/>
  <c r="J52" i="14"/>
  <c r="K52" i="14"/>
  <c r="L52" i="14"/>
  <c r="M52" i="14"/>
  <c r="N52" i="14"/>
  <c r="F1" i="13"/>
  <c r="J2" i="14"/>
  <c r="K2" i="14"/>
  <c r="L2" i="14"/>
  <c r="M2" i="14"/>
  <c r="N2" i="14"/>
  <c r="B15" i="12"/>
  <c r="B9" i="12"/>
  <c r="B3" i="12"/>
  <c r="AD100" i="14" l="1"/>
  <c r="AC100" i="14"/>
  <c r="Z90" i="14"/>
  <c r="AB90" i="14" s="1"/>
  <c r="AE90" i="14" s="1"/>
  <c r="Z114" i="14"/>
  <c r="AB114" i="14" s="1"/>
  <c r="Z84" i="14"/>
  <c r="AB84" i="14" s="1"/>
  <c r="Z69" i="14"/>
  <c r="AB69" i="14" s="1"/>
  <c r="AC69" i="14" s="1"/>
  <c r="J137" i="14"/>
  <c r="K137" i="14"/>
  <c r="M137" i="14"/>
  <c r="L137" i="14"/>
  <c r="N137" i="14"/>
  <c r="Z46" i="14"/>
  <c r="AB46" i="14" s="1"/>
  <c r="Z54" i="14"/>
  <c r="AB54" i="14" s="1"/>
  <c r="Z55" i="14"/>
  <c r="AB55" i="14" s="1"/>
  <c r="Z56" i="14"/>
  <c r="AB56" i="14" s="1"/>
  <c r="Z57" i="14"/>
  <c r="AB57" i="14" s="1"/>
  <c r="Z58" i="14"/>
  <c r="AB58" i="14" s="1"/>
  <c r="Z59" i="14"/>
  <c r="AB59" i="14" s="1"/>
  <c r="Z60" i="14"/>
  <c r="AB60" i="14" s="1"/>
  <c r="Z61" i="14"/>
  <c r="AB61" i="14" s="1"/>
  <c r="Z62" i="14"/>
  <c r="AB62" i="14" s="1"/>
  <c r="Z63" i="14"/>
  <c r="AB63" i="14" s="1"/>
  <c r="Z64" i="14"/>
  <c r="AB64" i="14" s="1"/>
  <c r="Z65" i="14"/>
  <c r="AB65" i="14" s="1"/>
  <c r="Z66" i="14"/>
  <c r="AB66" i="14" s="1"/>
  <c r="Z67" i="14"/>
  <c r="AB67" i="14" s="1"/>
  <c r="Z68" i="14"/>
  <c r="AB68" i="14" s="1"/>
  <c r="Z70" i="14"/>
  <c r="AB70" i="14" s="1"/>
  <c r="AE70" i="14" s="1"/>
  <c r="Z71" i="14"/>
  <c r="AB71" i="14" s="1"/>
  <c r="Z72" i="14"/>
  <c r="AB72" i="14" s="1"/>
  <c r="Z73" i="14"/>
  <c r="AB73" i="14" s="1"/>
  <c r="Z74" i="14"/>
  <c r="AB74" i="14" s="1"/>
  <c r="Z75" i="14"/>
  <c r="AB75" i="14" s="1"/>
  <c r="Z76" i="14"/>
  <c r="AB76" i="14" s="1"/>
  <c r="Z77" i="14"/>
  <c r="AB77" i="14" s="1"/>
  <c r="Z78" i="14"/>
  <c r="AB78" i="14" s="1"/>
  <c r="Z79" i="14"/>
  <c r="AB79" i="14" s="1"/>
  <c r="Z80" i="14"/>
  <c r="AB80" i="14" s="1"/>
  <c r="Z81" i="14"/>
  <c r="AB81" i="14" s="1"/>
  <c r="Z82" i="14"/>
  <c r="AB82" i="14" s="1"/>
  <c r="Z83" i="14"/>
  <c r="AB83" i="14" s="1"/>
  <c r="Z85" i="14"/>
  <c r="AB85" i="14" s="1"/>
  <c r="Z86" i="14"/>
  <c r="AB86" i="14" s="1"/>
  <c r="Z87" i="14"/>
  <c r="AB87" i="14" s="1"/>
  <c r="Z88" i="14"/>
  <c r="AB88" i="14" s="1"/>
  <c r="Z89" i="14"/>
  <c r="AB89" i="14" s="1"/>
  <c r="Z91" i="14"/>
  <c r="AB91" i="14" s="1"/>
  <c r="Z92" i="14"/>
  <c r="AB92" i="14" s="1"/>
  <c r="Z93" i="14"/>
  <c r="AB93" i="14" s="1"/>
  <c r="Z97" i="14"/>
  <c r="AB97" i="14" s="1"/>
  <c r="Z98" i="14"/>
  <c r="AB98" i="14" s="1"/>
  <c r="Z99" i="14"/>
  <c r="AB99" i="14" s="1"/>
  <c r="Z101" i="14"/>
  <c r="AB101" i="14" s="1"/>
  <c r="Z102" i="14"/>
  <c r="AB102" i="14" s="1"/>
  <c r="Z103" i="14"/>
  <c r="AB103" i="14" s="1"/>
  <c r="Z104" i="14"/>
  <c r="AB104" i="14" s="1"/>
  <c r="Z105" i="14"/>
  <c r="AB105" i="14" s="1"/>
  <c r="Z119" i="14"/>
  <c r="AB119" i="14" s="1"/>
  <c r="Z123" i="14"/>
  <c r="AB123" i="14" s="1"/>
  <c r="Z124" i="14"/>
  <c r="AB124" i="14" s="1"/>
  <c r="Z126" i="14"/>
  <c r="AB126" i="14" s="1"/>
  <c r="Z128" i="14"/>
  <c r="AB128" i="14" s="1"/>
  <c r="Z131" i="14"/>
  <c r="AB131" i="14" s="1"/>
  <c r="Z134" i="14"/>
  <c r="AB134" i="14" s="1"/>
  <c r="Z3" i="14"/>
  <c r="AB3" i="14" s="1"/>
  <c r="Z6" i="14"/>
  <c r="AB6" i="14" s="1"/>
  <c r="Z7" i="14"/>
  <c r="AB7" i="14" s="1"/>
  <c r="Z10" i="14"/>
  <c r="AB10" i="14" s="1"/>
  <c r="Z13" i="14"/>
  <c r="AB13" i="14" s="1"/>
  <c r="Z14" i="14"/>
  <c r="AB14" i="14" s="1"/>
  <c r="Z15" i="14"/>
  <c r="AB15" i="14" s="1"/>
  <c r="Z17" i="14"/>
  <c r="AB17" i="14" s="1"/>
  <c r="Z21" i="14"/>
  <c r="AB21" i="14" s="1"/>
  <c r="Z24" i="14"/>
  <c r="AB24" i="14" s="1"/>
  <c r="Z25" i="14"/>
  <c r="AB25" i="14" s="1"/>
  <c r="Z27" i="14"/>
  <c r="AB27" i="14" s="1"/>
  <c r="Z30" i="14"/>
  <c r="AB30" i="14" s="1"/>
  <c r="Z31" i="14"/>
  <c r="AB31" i="14" s="1"/>
  <c r="Z33" i="14"/>
  <c r="AB33" i="14" s="1"/>
  <c r="Z35" i="14"/>
  <c r="AB35" i="14" s="1"/>
  <c r="Z36" i="14"/>
  <c r="AB36" i="14" s="1"/>
  <c r="Z38" i="14"/>
  <c r="AB38" i="14" s="1"/>
  <c r="Z39" i="14"/>
  <c r="AB39" i="14" s="1"/>
  <c r="Z42" i="14"/>
  <c r="AB42" i="14" s="1"/>
  <c r="Z43" i="14"/>
  <c r="AB43" i="14" s="1"/>
  <c r="Z107" i="14"/>
  <c r="AB107" i="14" s="1"/>
  <c r="Z108" i="14"/>
  <c r="AB108" i="14" s="1"/>
  <c r="Z109" i="14"/>
  <c r="AB109" i="14" s="1"/>
  <c r="Z110" i="14"/>
  <c r="AB110" i="14" s="1"/>
  <c r="Z111" i="14"/>
  <c r="AB111" i="14" s="1"/>
  <c r="Z112" i="14"/>
  <c r="AB112" i="14" s="1"/>
  <c r="Z113" i="14"/>
  <c r="AB113" i="14" s="1"/>
  <c r="Z115" i="14"/>
  <c r="AB115" i="14" s="1"/>
  <c r="Z116" i="14"/>
  <c r="AB116" i="14" s="1"/>
  <c r="Z117" i="14"/>
  <c r="AB117" i="14" s="1"/>
  <c r="Z118" i="14"/>
  <c r="AB118" i="14" s="1"/>
  <c r="Z120" i="14"/>
  <c r="AB120" i="14" s="1"/>
  <c r="Z121" i="14"/>
  <c r="AB121" i="14" s="1"/>
  <c r="Z125" i="14"/>
  <c r="AB125" i="14" s="1"/>
  <c r="Z127" i="14"/>
  <c r="AB127" i="14" s="1"/>
  <c r="Z129" i="14"/>
  <c r="AB129" i="14" s="1"/>
  <c r="Z130" i="14"/>
  <c r="AB130" i="14" s="1"/>
  <c r="Z132" i="14"/>
  <c r="AB132" i="14" s="1"/>
  <c r="Z133" i="14"/>
  <c r="AB133" i="14" s="1"/>
  <c r="Z135" i="14"/>
  <c r="AB135" i="14" s="1"/>
  <c r="Z136" i="14"/>
  <c r="AB136" i="14" s="1"/>
  <c r="Z4" i="14"/>
  <c r="AB4" i="14" s="1"/>
  <c r="Z5" i="14"/>
  <c r="AB5" i="14" s="1"/>
  <c r="Z8" i="14"/>
  <c r="AB8" i="14" s="1"/>
  <c r="Z9" i="14"/>
  <c r="AB9" i="14" s="1"/>
  <c r="Z11" i="14"/>
  <c r="AB11" i="14" s="1"/>
  <c r="Z12" i="14"/>
  <c r="AB12" i="14" s="1"/>
  <c r="Z16" i="14"/>
  <c r="AB16" i="14" s="1"/>
  <c r="Z18" i="14"/>
  <c r="AB18" i="14" s="1"/>
  <c r="Z19" i="14"/>
  <c r="AB19" i="14" s="1"/>
  <c r="Z20" i="14"/>
  <c r="AB20" i="14" s="1"/>
  <c r="Z22" i="14"/>
  <c r="AB22" i="14" s="1"/>
  <c r="Z23" i="14"/>
  <c r="AB23" i="14" s="1"/>
  <c r="Z26" i="14"/>
  <c r="AB26" i="14" s="1"/>
  <c r="Z28" i="14"/>
  <c r="AB28" i="14" s="1"/>
  <c r="Z29" i="14"/>
  <c r="AB29" i="14" s="1"/>
  <c r="Z32" i="14"/>
  <c r="AB32" i="14" s="1"/>
  <c r="Z34" i="14"/>
  <c r="AB34" i="14" s="1"/>
  <c r="Z37" i="14"/>
  <c r="AB37" i="14" s="1"/>
  <c r="Z40" i="14"/>
  <c r="AB40" i="14" s="1"/>
  <c r="Z44" i="14"/>
  <c r="AB44" i="14" s="1"/>
  <c r="Z45" i="14"/>
  <c r="AB45" i="14" s="1"/>
  <c r="Z47" i="14"/>
  <c r="AB47" i="14" s="1"/>
  <c r="Z48" i="14"/>
  <c r="AB48" i="14" s="1"/>
  <c r="Z49" i="14"/>
  <c r="AB49" i="14" s="1"/>
  <c r="Z50" i="14"/>
  <c r="AB50" i="14" s="1"/>
  <c r="Z51" i="14"/>
  <c r="AB51" i="14" s="1"/>
  <c r="Z52" i="14"/>
  <c r="AB52" i="14" s="1"/>
  <c r="Z94" i="14"/>
  <c r="AB94" i="14" s="1"/>
  <c r="Z95" i="14"/>
  <c r="AB95" i="14" s="1"/>
  <c r="Z122" i="14"/>
  <c r="AB122" i="14" s="1"/>
  <c r="Z53" i="14"/>
  <c r="AB53" i="14" s="1"/>
  <c r="Z2" i="14"/>
  <c r="AD90" i="14" l="1"/>
  <c r="AC90" i="14"/>
  <c r="AE84" i="14"/>
  <c r="AC84" i="14"/>
  <c r="AD84" i="14"/>
  <c r="AE114" i="14"/>
  <c r="AD114" i="14"/>
  <c r="AC114" i="14"/>
  <c r="AE93" i="14"/>
  <c r="AD93" i="14"/>
  <c r="AC93" i="14"/>
  <c r="AD69" i="14"/>
  <c r="AE69" i="14"/>
  <c r="AB2" i="14"/>
  <c r="Z137" i="14"/>
  <c r="AD60" i="14"/>
  <c r="AE60" i="14"/>
  <c r="AC60" i="14"/>
  <c r="AE83" i="14"/>
  <c r="AD83" i="14"/>
  <c r="AC83" i="14"/>
  <c r="AC70" i="14"/>
  <c r="AD70" i="14"/>
  <c r="AC11" i="14"/>
  <c r="AD11" i="14"/>
  <c r="AE11" i="14"/>
  <c r="AE19" i="14"/>
  <c r="AD19" i="14"/>
  <c r="AC19" i="14"/>
  <c r="AD34" i="14"/>
  <c r="AC34" i="14"/>
  <c r="AE34" i="14"/>
  <c r="AC94" i="14"/>
  <c r="AE94" i="14"/>
  <c r="AD94" i="14"/>
  <c r="AC122" i="14"/>
  <c r="AD122" i="14"/>
  <c r="AE122" i="14"/>
  <c r="AC53" i="14"/>
  <c r="AD53" i="14"/>
  <c r="AE53" i="14"/>
  <c r="AC95" i="14"/>
  <c r="AD95" i="14"/>
  <c r="AE95" i="14"/>
  <c r="AC59" i="14"/>
  <c r="AD59" i="14"/>
  <c r="AE59" i="14"/>
  <c r="AC35" i="14"/>
  <c r="AE35" i="14"/>
  <c r="AD35" i="14"/>
  <c r="AD42" i="14"/>
  <c r="AE42" i="14"/>
  <c r="AC42" i="14"/>
  <c r="AC64" i="14"/>
  <c r="AD64" i="14"/>
  <c r="AE64" i="14"/>
  <c r="AE49" i="14"/>
  <c r="AD49" i="14"/>
  <c r="AC49" i="14"/>
  <c r="AC120" i="14"/>
  <c r="AD120" i="14"/>
  <c r="AE120" i="14"/>
  <c r="AD85" i="14"/>
  <c r="AC85" i="14"/>
  <c r="AE85" i="14"/>
  <c r="AD3" i="14"/>
  <c r="AE3" i="14"/>
  <c r="AC3" i="14"/>
  <c r="AC7" i="14"/>
  <c r="AD7" i="14"/>
  <c r="AE7" i="14"/>
  <c r="AC44" i="14"/>
  <c r="AD44" i="14"/>
  <c r="AE44" i="14"/>
  <c r="AD9" i="14"/>
  <c r="AC9" i="14"/>
  <c r="AE9" i="14"/>
  <c r="AE76" i="14"/>
  <c r="AD76" i="14"/>
  <c r="AC76" i="14"/>
  <c r="AD61" i="14"/>
  <c r="AE61" i="14"/>
  <c r="AC61" i="14"/>
  <c r="AE131" i="14"/>
  <c r="AD131" i="14"/>
  <c r="AC131" i="14"/>
  <c r="AE113" i="14"/>
  <c r="AD113" i="14"/>
  <c r="AC113" i="14"/>
  <c r="AE74" i="14"/>
  <c r="AD74" i="14"/>
  <c r="AC74" i="14"/>
  <c r="AE88" i="14"/>
  <c r="AD88" i="14"/>
  <c r="AC88" i="14"/>
  <c r="AC99" i="14"/>
  <c r="AD99" i="14"/>
  <c r="AE99" i="14"/>
  <c r="AC124" i="14"/>
  <c r="AD124" i="14"/>
  <c r="AE124" i="14"/>
  <c r="AE86" i="14"/>
  <c r="AD86" i="14"/>
  <c r="AC86" i="14"/>
  <c r="AC111" i="14"/>
  <c r="AD111" i="14"/>
  <c r="AE111" i="14"/>
  <c r="AC121" i="14"/>
  <c r="AD121" i="14"/>
  <c r="AE121" i="14"/>
  <c r="AE71" i="14"/>
  <c r="AC71" i="14"/>
  <c r="AD71" i="14"/>
  <c r="AC65" i="14"/>
  <c r="AD65" i="14"/>
  <c r="AE65" i="14"/>
  <c r="AC55" i="14"/>
  <c r="AE55" i="14"/>
  <c r="AD55" i="14"/>
  <c r="AC50" i="14"/>
  <c r="AD50" i="14"/>
  <c r="AE50" i="14"/>
  <c r="AE38" i="14"/>
  <c r="AD38" i="14"/>
  <c r="AC38" i="14"/>
  <c r="AE31" i="14"/>
  <c r="AD31" i="14"/>
  <c r="AC31" i="14"/>
  <c r="AD23" i="14"/>
  <c r="AE23" i="14"/>
  <c r="AC23" i="14"/>
  <c r="AD18" i="14"/>
  <c r="AC18" i="14"/>
  <c r="AE18" i="14"/>
  <c r="AE14" i="14"/>
  <c r="AC14" i="14"/>
  <c r="AD14" i="14"/>
  <c r="AD6" i="14"/>
  <c r="AC6" i="14"/>
  <c r="AE6" i="14"/>
  <c r="AD77" i="14"/>
  <c r="AE77" i="14"/>
  <c r="AC77" i="14"/>
  <c r="AE107" i="14"/>
  <c r="AD107" i="14"/>
  <c r="AC107" i="14"/>
  <c r="AC128" i="14"/>
  <c r="AE128" i="14"/>
  <c r="AD128" i="14"/>
  <c r="AD136" i="14"/>
  <c r="AC136" i="14"/>
  <c r="AE136" i="14"/>
  <c r="AE20" i="14"/>
  <c r="AC20" i="14"/>
  <c r="AD20" i="14"/>
  <c r="AE36" i="14"/>
  <c r="AD36" i="14"/>
  <c r="AC36" i="14"/>
  <c r="AE73" i="14"/>
  <c r="AD73" i="14"/>
  <c r="AC73" i="14"/>
  <c r="AE109" i="14"/>
  <c r="AD109" i="14"/>
  <c r="AC109" i="14"/>
  <c r="AE126" i="14"/>
  <c r="AD126" i="14"/>
  <c r="AC126" i="14"/>
  <c r="AE5" i="14"/>
  <c r="AD5" i="14"/>
  <c r="AC5" i="14"/>
  <c r="AE103" i="14"/>
  <c r="AD103" i="14"/>
  <c r="AC103" i="14"/>
  <c r="AD4" i="14"/>
  <c r="AE4" i="14"/>
  <c r="AC4" i="14"/>
  <c r="AC82" i="14"/>
  <c r="AD82" i="14"/>
  <c r="AE82" i="14"/>
  <c r="AE104" i="14"/>
  <c r="AD104" i="14"/>
  <c r="AC104" i="14"/>
  <c r="AC134" i="14"/>
  <c r="AD134" i="14"/>
  <c r="AE134" i="14"/>
  <c r="AE118" i="14"/>
  <c r="AD118" i="14"/>
  <c r="AC118" i="14"/>
  <c r="AE110" i="14"/>
  <c r="AD110" i="14"/>
  <c r="AC110" i="14"/>
  <c r="AE105" i="14"/>
  <c r="AD105" i="14"/>
  <c r="AC105" i="14"/>
  <c r="AE97" i="14"/>
  <c r="AD97" i="14"/>
  <c r="AC97" i="14"/>
  <c r="AC91" i="14"/>
  <c r="AD91" i="14"/>
  <c r="AE91" i="14"/>
  <c r="AD79" i="14"/>
  <c r="AE79" i="14"/>
  <c r="AC79" i="14"/>
  <c r="AE72" i="14"/>
  <c r="AD72" i="14"/>
  <c r="AC72" i="14"/>
  <c r="AC45" i="14"/>
  <c r="AE45" i="14"/>
  <c r="AD45" i="14"/>
  <c r="AC28" i="14"/>
  <c r="AD28" i="14"/>
  <c r="AE28" i="14"/>
  <c r="AE21" i="14"/>
  <c r="AC21" i="14"/>
  <c r="AD21" i="14"/>
  <c r="AC10" i="14"/>
  <c r="AD10" i="14"/>
  <c r="AE10" i="14"/>
  <c r="AC12" i="14"/>
  <c r="AE12" i="14"/>
  <c r="AD12" i="14"/>
  <c r="AD29" i="14"/>
  <c r="AC29" i="14"/>
  <c r="AE29" i="14"/>
  <c r="AE62" i="14"/>
  <c r="AD62" i="14"/>
  <c r="AC62" i="14"/>
  <c r="AE132" i="14"/>
  <c r="AD132" i="14"/>
  <c r="AC132" i="14"/>
  <c r="AE125" i="14"/>
  <c r="AD125" i="14"/>
  <c r="AC125" i="14"/>
  <c r="AD115" i="14"/>
  <c r="AE115" i="14"/>
  <c r="AC115" i="14"/>
  <c r="AE67" i="14"/>
  <c r="AC67" i="14"/>
  <c r="AD67" i="14"/>
  <c r="AE57" i="14"/>
  <c r="AC57" i="14"/>
  <c r="AD57" i="14"/>
  <c r="AD48" i="14"/>
  <c r="AC48" i="14"/>
  <c r="AE48" i="14"/>
  <c r="AD40" i="14"/>
  <c r="AE40" i="14"/>
  <c r="AC40" i="14"/>
  <c r="AE33" i="14"/>
  <c r="AC33" i="14"/>
  <c r="AD33" i="14"/>
  <c r="AD25" i="14"/>
  <c r="AC25" i="14"/>
  <c r="AE25" i="14"/>
  <c r="AE81" i="14"/>
  <c r="AC81" i="14"/>
  <c r="AD81" i="14"/>
  <c r="AD8" i="14"/>
  <c r="AE8" i="14"/>
  <c r="AC8" i="14"/>
  <c r="AE102" i="14"/>
  <c r="AC102" i="14"/>
  <c r="AD102" i="14"/>
  <c r="AE78" i="14"/>
  <c r="AD78" i="14"/>
  <c r="AC78" i="14"/>
  <c r="AE92" i="14"/>
  <c r="AD92" i="14"/>
  <c r="AC92" i="14"/>
  <c r="AE43" i="14"/>
  <c r="AD43" i="14"/>
  <c r="AC43" i="14"/>
  <c r="AC58" i="14"/>
  <c r="AD58" i="14"/>
  <c r="AE58" i="14"/>
  <c r="AD68" i="14"/>
  <c r="AE68" i="14"/>
  <c r="AC68" i="14"/>
  <c r="AE112" i="14"/>
  <c r="AD112" i="14"/>
  <c r="AC112" i="14"/>
  <c r="AC15" i="14"/>
  <c r="AD15" i="14"/>
  <c r="AE15" i="14"/>
  <c r="AC24" i="14"/>
  <c r="AE24" i="14"/>
  <c r="AD24" i="14"/>
  <c r="AC32" i="14"/>
  <c r="AD32" i="14"/>
  <c r="AE32" i="14"/>
  <c r="AE39" i="14"/>
  <c r="AD39" i="14"/>
  <c r="AC39" i="14"/>
  <c r="AE47" i="14"/>
  <c r="AC47" i="14"/>
  <c r="AD47" i="14"/>
  <c r="AE66" i="14"/>
  <c r="AD66" i="14"/>
  <c r="AC66" i="14"/>
  <c r="AC75" i="14"/>
  <c r="AD75" i="14"/>
  <c r="AE75" i="14"/>
  <c r="AC17" i="14"/>
  <c r="AE17" i="14"/>
  <c r="AD17" i="14"/>
  <c r="AE26" i="14"/>
  <c r="AD26" i="14"/>
  <c r="AC26" i="14"/>
  <c r="AD130" i="14"/>
  <c r="AC130" i="14"/>
  <c r="AE130" i="14"/>
  <c r="AC13" i="14"/>
  <c r="AD13" i="14"/>
  <c r="AE13" i="14"/>
  <c r="AC22" i="14"/>
  <c r="AD22" i="14"/>
  <c r="AE22" i="14"/>
  <c r="AD30" i="14"/>
  <c r="AE30" i="14"/>
  <c r="AC30" i="14"/>
  <c r="AC37" i="14"/>
  <c r="AD37" i="14"/>
  <c r="AE37" i="14"/>
  <c r="AE46" i="14"/>
  <c r="AD46" i="14"/>
  <c r="AC46" i="14"/>
  <c r="AD63" i="14"/>
  <c r="AC63" i="14"/>
  <c r="AE63" i="14"/>
  <c r="AD80" i="14"/>
  <c r="AC80" i="14"/>
  <c r="AE80" i="14"/>
  <c r="AE101" i="14"/>
  <c r="AC101" i="14"/>
  <c r="AD101" i="14"/>
  <c r="AC119" i="14"/>
  <c r="AD119" i="14"/>
  <c r="AE119" i="14"/>
  <c r="AC129" i="14"/>
  <c r="AD129" i="14"/>
  <c r="AE129" i="14"/>
  <c r="AC135" i="14"/>
  <c r="AE135" i="14"/>
  <c r="AD135" i="14"/>
  <c r="AD87" i="14"/>
  <c r="AC87" i="14"/>
  <c r="AE87" i="14"/>
  <c r="AD106" i="14"/>
  <c r="AE106" i="14"/>
  <c r="AC106" i="14"/>
  <c r="AC108" i="14"/>
  <c r="AD108" i="14"/>
  <c r="AE108" i="14"/>
  <c r="AD127" i="14"/>
  <c r="AE127" i="14"/>
  <c r="AC127" i="14"/>
  <c r="AE133" i="14"/>
  <c r="AD133" i="14"/>
  <c r="AC133" i="14"/>
  <c r="AC51" i="14"/>
  <c r="AD51" i="14"/>
  <c r="AE51" i="14"/>
  <c r="AC123" i="14"/>
  <c r="AD123" i="14"/>
  <c r="AE123" i="14"/>
  <c r="AD27" i="14"/>
  <c r="AE27" i="14"/>
  <c r="AC27" i="14"/>
  <c r="AD98" i="14"/>
  <c r="AC98" i="14"/>
  <c r="AE98" i="14"/>
  <c r="AD89" i="14"/>
  <c r="AC89" i="14"/>
  <c r="AE89" i="14"/>
  <c r="AC117" i="14"/>
  <c r="AD117" i="14"/>
  <c r="AE117" i="14"/>
  <c r="AD116" i="14"/>
  <c r="AC116" i="14"/>
  <c r="AE116" i="14"/>
  <c r="AE16" i="14"/>
  <c r="AD16" i="14"/>
  <c r="AC16" i="14"/>
  <c r="AB137" i="14" l="1"/>
  <c r="AE2" i="14"/>
  <c r="AC2" i="14"/>
  <c r="AD2" i="14"/>
  <c r="AC56" i="14"/>
  <c r="AD56" i="14"/>
  <c r="AE56" i="14"/>
  <c r="AC52" i="14"/>
  <c r="AD52" i="14"/>
  <c r="AE52" i="14"/>
  <c r="AD137" i="14" l="1"/>
  <c r="B8" i="12" s="1"/>
  <c r="AC137" i="14"/>
  <c r="B2" i="12" s="1"/>
  <c r="C2" i="12" s="1"/>
  <c r="AE137" i="14"/>
  <c r="B14" i="12" s="1"/>
  <c r="C14" i="12" s="1"/>
  <c r="F19" i="12" l="1"/>
  <c r="F18" i="12"/>
  <c r="B16" i="12"/>
  <c r="B4" i="12"/>
  <c r="F2" i="12"/>
  <c r="F3" i="12"/>
  <c r="F4" i="12"/>
  <c r="F5" i="12"/>
  <c r="C8" i="12"/>
  <c r="B10" i="12"/>
  <c r="F14" i="12"/>
  <c r="F17" i="12"/>
  <c r="F16" i="12"/>
  <c r="F15" i="12"/>
  <c r="F8" i="12" l="1"/>
  <c r="F9" i="12"/>
  <c r="F11" i="12"/>
  <c r="F10" i="12"/>
</calcChain>
</file>

<file path=xl/sharedStrings.xml><?xml version="1.0" encoding="utf-8"?>
<sst xmlns="http://schemas.openxmlformats.org/spreadsheetml/2006/main" count="938" uniqueCount="462">
  <si>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</si>
  <si>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</si>
  <si>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</si>
  <si>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</si>
  <si>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</si>
  <si>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</si>
  <si>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</si>
  <si>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</si>
  <si>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</si>
  <si>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</si>
  <si>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</si>
  <si>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</si>
  <si>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</si>
  <si>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</si>
  <si>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</si>
  <si>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</si>
  <si>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</si>
  <si>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</si>
  <si>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</si>
  <si>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</si>
  <si>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</si>
  <si>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</si>
  <si>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</si>
  <si>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</si>
  <si>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</si>
  <si>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</si>
  <si>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</si>
  <si>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</si>
  <si>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ABIDOYE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</si>
  <si>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</si>
  <si>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</si>
  <si>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</si>
  <si>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</si>
  <si>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</si>
  <si>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</si>
  <si>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</si>
  <si>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</si>
  <si>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</si>
  <si>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</si>
  <si>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</si>
  <si>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</si>
  <si>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</si>
  <si>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</si>
  <si>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</si>
  <si>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</si>
  <si>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</si>
  <si>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</si>
  <si>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NURSERY 2</t>
  </si>
  <si>
    <t>PRIMARY 2</t>
  </si>
  <si>
    <t>PLAYGROUP 1</t>
  </si>
  <si>
    <t>ADEKUNLE</t>
  </si>
  <si>
    <t>MUMINAT ADEBOLA</t>
  </si>
  <si>
    <t>ADELOYE</t>
  </si>
  <si>
    <t>DANIEL</t>
  </si>
  <si>
    <t>EMMANUEL</t>
  </si>
  <si>
    <t>PROSPER</t>
  </si>
  <si>
    <t>ADENIYI</t>
  </si>
  <si>
    <t>HERITAGE ADEDOYIN</t>
  </si>
  <si>
    <t>PRIMARY 4</t>
  </si>
  <si>
    <t>AKINBOSOYE</t>
  </si>
  <si>
    <t>DANIEL IYANUOLUWA</t>
  </si>
  <si>
    <t>DEBORAH OLUWADARA</t>
  </si>
  <si>
    <t>AKINYEMI</t>
  </si>
  <si>
    <t>DAVID</t>
  </si>
  <si>
    <t>ALIDU</t>
  </si>
  <si>
    <t>BOLANLE AZEEZAT</t>
  </si>
  <si>
    <t>JUNIOR SECONDARY SCHOOL 3</t>
  </si>
  <si>
    <t>AWODOLA</t>
  </si>
  <si>
    <t>JOSHUA AYOMIDE</t>
  </si>
  <si>
    <t>SENIOR SECONDARY SCHOOL 2</t>
  </si>
  <si>
    <t>AYODELE</t>
  </si>
  <si>
    <t>SANDRA OLUWATOBILOBA</t>
  </si>
  <si>
    <t>MICHAEL</t>
  </si>
  <si>
    <t>OLUWADARASIMI</t>
  </si>
  <si>
    <t>JESUTOFUNMI DARA</t>
  </si>
  <si>
    <t>EDEM</t>
  </si>
  <si>
    <t>ZENITH AYOKUNNUMI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</si>
  <si>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</si>
  <si>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</si>
  <si>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</si>
  <si>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</si>
  <si>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</si>
  <si>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</si>
  <si>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</si>
  <si>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KOLADE</t>
  </si>
  <si>
    <t>MUTAIRU</t>
  </si>
  <si>
    <t>MARIAM OMOSHALEWA</t>
  </si>
  <si>
    <t>ISMAIL ABIODUN</t>
  </si>
  <si>
    <t>IBRAHIM GBOLAHAN</t>
  </si>
  <si>
    <t>NELSON</t>
  </si>
  <si>
    <t>HARRY EMMANUEL OBALOLUWA</t>
  </si>
  <si>
    <t>SENIOR SECONDARY SCHOOL 1</t>
  </si>
  <si>
    <t>OLADAPO</t>
  </si>
  <si>
    <t>JASON ANJOLAOLUWA</t>
  </si>
  <si>
    <t>OLADEJO</t>
  </si>
  <si>
    <t>JESUTOFUNMI PRECIOUS</t>
  </si>
  <si>
    <t>OLATUNJI</t>
  </si>
  <si>
    <t>JEMIMAH OLAMIDE</t>
  </si>
  <si>
    <t>GREAT MOYINOLUWA</t>
  </si>
  <si>
    <t>INIOLUWA BRIGHT</t>
  </si>
  <si>
    <t>OLOGUNDUDU</t>
  </si>
  <si>
    <t>OLUNIYI</t>
  </si>
  <si>
    <t>LEONARD DAVID</t>
  </si>
  <si>
    <t>OLUWAFEMI</t>
  </si>
  <si>
    <t>EMMANUEL OBALOLUWA</t>
  </si>
  <si>
    <t>OLUWASEGUN</t>
  </si>
  <si>
    <t>EMMANUEL OLUWAKOREDE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</si>
  <si>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</si>
  <si>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</si>
  <si>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</si>
  <si>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</si>
  <si>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</si>
  <si>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</si>
  <si>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</si>
  <si>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</si>
  <si>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</si>
  <si>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</si>
  <si>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</si>
  <si>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</si>
  <si>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</si>
  <si>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</si>
  <si>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</si>
  <si>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</si>
  <si>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</si>
  <si>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TEMITOPE</t>
  </si>
  <si>
    <t>OLUWATIMILEYIN GODWIN</t>
  </si>
  <si>
    <t>TIAMIYU</t>
  </si>
  <si>
    <t>AISHAT WURAOLA</t>
  </si>
  <si>
    <t>UDENSON</t>
  </si>
  <si>
    <t>TESTIMONY</t>
  </si>
  <si>
    <t>WAHAB</t>
  </si>
  <si>
    <t>FAIZA ALVES</t>
  </si>
  <si>
    <t>CREDIT</t>
  </si>
  <si>
    <t>DEBORAH ADESIRE</t>
  </si>
  <si>
    <t>FAITH MORAYOOLUWA</t>
  </si>
  <si>
    <t>ABDULQUDUS</t>
  </si>
  <si>
    <t>AKANDE</t>
  </si>
  <si>
    <t>ZION AYANFE</t>
  </si>
  <si>
    <t>JEMIMA OLAOLUWAKITAN</t>
  </si>
  <si>
    <t>OLATUNDE</t>
  </si>
  <si>
    <t>FAITHFULNESS SAMUEL</t>
  </si>
  <si>
    <t>LESSON FEE PRY</t>
  </si>
  <si>
    <t>LESSON FEE SEC</t>
  </si>
  <si>
    <t>PARTY FEE REMIT</t>
  </si>
  <si>
    <t>ADEDAMOLA</t>
  </si>
  <si>
    <t>IREMIDE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</si>
  <si>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</si>
  <si>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</si>
  <si>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</si>
  <si>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</si>
  <si>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</si>
  <si>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</si>
  <si>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</si>
  <si>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</si>
  <si>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</si>
  <si>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</si>
  <si>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</si>
  <si>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JOY TOLUWANI</t>
  </si>
  <si>
    <t>PRIMARY LESSON</t>
  </si>
  <si>
    <t>DATE</t>
  </si>
  <si>
    <t>CURRENT BALANCE</t>
  </si>
  <si>
    <t>SECONDARY LESSON</t>
  </si>
  <si>
    <t>PARTY DUES</t>
  </si>
  <si>
    <t>AMOUNT REMITTED</t>
  </si>
  <si>
    <t>KELANI</t>
  </si>
  <si>
    <t>AZEEZAH ADEJARE</t>
  </si>
  <si>
    <t>ALADESAYE</t>
  </si>
  <si>
    <t>AFOLAHANMI VINCENT</t>
  </si>
  <si>
    <t>FAGBAYI</t>
  </si>
  <si>
    <t>ASEOLUWA JOSHUA</t>
  </si>
  <si>
    <t>GANFO</t>
  </si>
  <si>
    <t>JOSHUA OLAMIDE</t>
  </si>
  <si>
    <t>SAMUEL DEMILADE</t>
  </si>
  <si>
    <t>FRANKLIN</t>
  </si>
  <si>
    <t>GRACE-ANN ITSHOGHENE</t>
  </si>
  <si>
    <t>ABIODUN</t>
  </si>
  <si>
    <t>DANIEL OBANIJESU</t>
  </si>
  <si>
    <t>SANUSI</t>
  </si>
  <si>
    <t>DESIRE</t>
  </si>
  <si>
    <t>BLESSING</t>
  </si>
  <si>
    <t>AKINDURO</t>
  </si>
  <si>
    <t>ADIGUN</t>
  </si>
  <si>
    <t>JOSIAH BRIGHT</t>
  </si>
  <si>
    <t>AHNAF ARAOLA</t>
  </si>
  <si>
    <t>BAKARE</t>
  </si>
  <si>
    <t>PRINCESS BEWAJI</t>
  </si>
  <si>
    <t>ABDULLATEEF</t>
  </si>
  <si>
    <t>MUHAMMED</t>
  </si>
  <si>
    <t>ISSAH</t>
  </si>
  <si>
    <t>IMOLE</t>
  </si>
  <si>
    <t>ELIZABETH</t>
  </si>
  <si>
    <t>OSUNDEYI</t>
  </si>
  <si>
    <t>BEAUTY OLABISI</t>
  </si>
  <si>
    <t>ADETOLA PRINCESS</t>
  </si>
  <si>
    <t>GABRIELLA OLUWAFIREWAMIRI</t>
  </si>
  <si>
    <t>MODADEOBA GBOLAHAN</t>
  </si>
  <si>
    <t>ADEYANJU</t>
  </si>
  <si>
    <t>OLALEMI</t>
  </si>
  <si>
    <t>ADEMIDE SAMUEL</t>
  </si>
  <si>
    <t>JEMIMAH AYOMIDE</t>
  </si>
  <si>
    <t>OBEY</t>
  </si>
  <si>
    <t>SHARON ADELEWA</t>
  </si>
  <si>
    <t>CHARIS ADEEWA</t>
  </si>
  <si>
    <t>IVANA ADESEWA</t>
  </si>
  <si>
    <t>OLUWASEUN</t>
  </si>
  <si>
    <t>ISRAEL ANJOLAOLUWA</t>
  </si>
  <si>
    <t>JAMIU</t>
  </si>
  <si>
    <t>HASBULLAH OKIKIOLA</t>
  </si>
  <si>
    <t>GABRIEL</t>
  </si>
  <si>
    <t>KEHINDE AYOLEYI</t>
  </si>
  <si>
    <t>TAIWO EYITAYO</t>
  </si>
  <si>
    <t>ZION</t>
  </si>
  <si>
    <t>JOSHUA IDEMUDIA</t>
  </si>
  <si>
    <t>SOLAWUDEEN</t>
  </si>
  <si>
    <t>IMAN ABISADE</t>
  </si>
  <si>
    <t>JEDIDAH</t>
  </si>
  <si>
    <t>FAIZAH AYANFE</t>
  </si>
  <si>
    <t>EMORDI</t>
  </si>
  <si>
    <t>JAPHETH ENIOLA</t>
  </si>
  <si>
    <t>JULIAN KOLADE</t>
  </si>
  <si>
    <t>AMOUNT RECEIVED</t>
  </si>
  <si>
    <t>EXPECTED BALANCE</t>
  </si>
  <si>
    <t>TOTAL EXPECTED AMOUNT</t>
  </si>
  <si>
    <t>DATE REMITTED</t>
  </si>
  <si>
    <t>TOTAL AMOUNT TO REMIT (70%)</t>
  </si>
  <si>
    <t>TOTAL AMOUNT TO REMIT (100%)</t>
  </si>
  <si>
    <t>SULTAN ORODE</t>
  </si>
  <si>
    <t>GANIYU</t>
  </si>
  <si>
    <t>ABDULAZEEZ</t>
  </si>
  <si>
    <t>FIRDAOS</t>
  </si>
  <si>
    <t>MOSES</t>
  </si>
  <si>
    <t>HEPHZIBAH TOLUWALASE</t>
  </si>
  <si>
    <t>ABDULLAH</t>
  </si>
  <si>
    <t>MICHELLE OREOFE</t>
  </si>
  <si>
    <t>ALABI</t>
  </si>
  <si>
    <t>IMOLEAYO MARY</t>
  </si>
  <si>
    <t>BENJAMIN</t>
  </si>
  <si>
    <t>GRANT</t>
  </si>
  <si>
    <t>BANK</t>
  </si>
  <si>
    <t>NARRATION</t>
  </si>
  <si>
    <t>STUDENT</t>
  </si>
  <si>
    <t>PRIMARY 5</t>
  </si>
  <si>
    <t>NIP:OLUWATIMILEYIN DAVID NATHANIEL</t>
  </si>
  <si>
    <t>WEMA</t>
  </si>
  <si>
    <t>DAVID OLUWADARASIMI</t>
  </si>
  <si>
    <t>CRECHE</t>
  </si>
  <si>
    <t>NIP:PAUL SUNDAY ADEDOJA</t>
  </si>
  <si>
    <t>ADEDOJA FAMILY</t>
  </si>
  <si>
    <t>FARHAN OLUWAJEDALO</t>
  </si>
  <si>
    <t>NIP:AKEEM ADESHINA GANIYU</t>
  </si>
  <si>
    <t>GANIYU FARHAN</t>
  </si>
  <si>
    <t>COMMENT</t>
  </si>
  <si>
    <t>NIP:ABIMBOLA ADENIKE ALABI</t>
  </si>
  <si>
    <t>NIP:samson oluwafunmibi akande</t>
  </si>
  <si>
    <t>ABIODUN FAMILY</t>
  </si>
  <si>
    <t>AKANDE FAMILY</t>
  </si>
  <si>
    <t>NIP:paul onyezuoke udenson</t>
  </si>
  <si>
    <t>UDENSON FAMILY</t>
  </si>
  <si>
    <t>NIP:SUKURA DASOLA MUKAILA</t>
  </si>
  <si>
    <t>ADEDAMOLA IREMIDE</t>
  </si>
  <si>
    <t>NIP:SEYI OLOWE</t>
  </si>
  <si>
    <t>ADENIYI SAMUEL</t>
  </si>
  <si>
    <t>AKINWUMI DAVID</t>
  </si>
  <si>
    <t>MONIEPOINT</t>
  </si>
  <si>
    <t>OMOWUNMI AFOLASADE AWOITE</t>
  </si>
  <si>
    <t>FRIDAY OGECHUKWU UKOH</t>
  </si>
  <si>
    <t>PETER FAVOUR</t>
  </si>
  <si>
    <t>EDEM ZENITH</t>
  </si>
  <si>
    <t>DAVID JESUTOFUNMI DARA</t>
  </si>
  <si>
    <t>NIP:MARIAM WURAOLA JAMIU</t>
  </si>
  <si>
    <t>NIP:DAMILOLA BIMPE AJAYI</t>
  </si>
  <si>
    <t>DAMILOLA BIMPE AJAYI</t>
  </si>
  <si>
    <t>TIRIMISIYU ABIOLA FASASI</t>
  </si>
  <si>
    <t>FASASI</t>
  </si>
  <si>
    <t>FASASI FAMILY</t>
  </si>
  <si>
    <t>FAGBAYI ASEOLUWA</t>
  </si>
  <si>
    <t>JAMIU FAIZAH</t>
  </si>
  <si>
    <t>OLUWASEUN ISRAEL</t>
  </si>
  <si>
    <t>NIP:KAYODE MATHEW OLUWASEUN-ISRAEL 1ST TERM</t>
  </si>
  <si>
    <t>NIP:OLATUNDE BUKOLA ALICE</t>
  </si>
  <si>
    <t>OLATUNDE FAITHFULNESS</t>
  </si>
  <si>
    <t>OGUNSANYA</t>
  </si>
  <si>
    <t>OLUWAFERANMI BLESSED</t>
  </si>
  <si>
    <t>OPETOSIMI GRACE</t>
  </si>
  <si>
    <t>NIP:HANNAH OLUWAJUMILO AKINDURO</t>
  </si>
  <si>
    <t>NIP:OGUNSANYA, OLUWAFUNMILAYO ABIOLA</t>
  </si>
  <si>
    <t>OGUNSANYA FAMILY</t>
  </si>
  <si>
    <t>NIP:TEMITOPE ELIZABETH ADEYEMO</t>
  </si>
  <si>
    <t>NIP:JOHN ABIODUN SAMSON</t>
  </si>
  <si>
    <t>ABIODUN DANIEL</t>
  </si>
  <si>
    <t>SANUSI FAMILY</t>
  </si>
  <si>
    <t>AKINDURO GABRIELLA</t>
  </si>
  <si>
    <t>NIP:EZEKIEL ADEDAYO OJO</t>
  </si>
  <si>
    <t>NIP:AYOBAMI KASALI</t>
  </si>
  <si>
    <t>OLABISI OLAYIWOLA</t>
  </si>
  <si>
    <t>AYODELE SANDRA</t>
  </si>
  <si>
    <t>ADENIYI HERITAGE</t>
  </si>
  <si>
    <t>ABDULAZEEZ FAMILY</t>
  </si>
  <si>
    <t>NIP:PAUL ADEDOJA</t>
  </si>
  <si>
    <t>ISLAMIAT YETUNDE TIRIMISIYU</t>
  </si>
  <si>
    <t>ADIGUN AHNAF</t>
  </si>
  <si>
    <t>NIP:FOSOM GLOBAL VENTURES-Moradeyo Prescilla Pry2</t>
  </si>
  <si>
    <t>NIP:OLUWAFEMI ADEBISI OYINLOLA</t>
  </si>
  <si>
    <t>NIP:OLABISI ADEOLA AUDU</t>
  </si>
  <si>
    <t>damilola oluwapeju samuel</t>
  </si>
  <si>
    <t>HAMMED ADEMOLA LATEEF</t>
  </si>
  <si>
    <t>HAMMED ZAINAB</t>
  </si>
  <si>
    <t>NIP:PRISCILLA NANAADJUA KOOMSON</t>
  </si>
  <si>
    <t>NIP:SAIDI ZAINAB</t>
  </si>
  <si>
    <t>NIP:SAFURAT OMOWUMI ISHOLA</t>
  </si>
  <si>
    <t>NIP:REBECCA BOLUWATIFE ADETUNJI</t>
  </si>
  <si>
    <t>NIP:OJEDIYA MERCY IMOH</t>
  </si>
  <si>
    <t>NIP:MODUPE ELIZABETH AGUNBIADE</t>
  </si>
  <si>
    <t>NIP:MARIAM WURAOLA ABIDOLA</t>
  </si>
  <si>
    <t>NIP:FAUSAT OLAMIDE ADERONMU</t>
  </si>
  <si>
    <t>NIP:ADETOLA ABOSEDE AWONIYI</t>
  </si>
  <si>
    <t>NIP:OMOTOLA ADEBUKONLA EMORDI</t>
  </si>
  <si>
    <t>OLADEJO JESUTOFUNMI</t>
  </si>
  <si>
    <t/>
  </si>
  <si>
    <t>BONUS</t>
  </si>
  <si>
    <t>ADEYEMI ADETOLA PRINCESS</t>
  </si>
  <si>
    <t>EMORDI FAMILY</t>
  </si>
  <si>
    <t>SAHEED AZEEMAH AND SALEEM</t>
  </si>
  <si>
    <t>AGUNBIADE</t>
  </si>
  <si>
    <t>CHRISTIANAH OLUWAKEMI</t>
  </si>
  <si>
    <t>JUNIOR SECONDARY SCHOOL 1</t>
  </si>
  <si>
    <t>AGUNBIADE CHRISTIANAH</t>
  </si>
  <si>
    <t>ADEDINI</t>
  </si>
  <si>
    <t>MARY OLUWATOFUNMI</t>
  </si>
  <si>
    <t>ADEDINI MARY</t>
  </si>
  <si>
    <t>NIP:TUNDE ADEGOKE OJO</t>
  </si>
  <si>
    <t>ADEDAYO FAMILY</t>
  </si>
  <si>
    <t>NIP:ASIMIYU KOLADE JOSEPH</t>
  </si>
  <si>
    <t>KOLADE JEMIMAH</t>
  </si>
  <si>
    <t>KOLADE JOSHUA</t>
  </si>
  <si>
    <t>NIP:TAYE DAVID IBITOYE</t>
  </si>
  <si>
    <t>IBITOYE FELIX</t>
  </si>
  <si>
    <t>NIP:ADEBOLA DOLAPO AZEEZ</t>
  </si>
  <si>
    <t>NIP:FATIMO OMOLABAKE ADEYEMO</t>
  </si>
  <si>
    <t>WAHAB FAIZA</t>
  </si>
  <si>
    <t>KONNEH FAMILY</t>
  </si>
  <si>
    <t>SOLAWUDEEN IMAN</t>
  </si>
  <si>
    <t>OGOOLUWADE</t>
  </si>
  <si>
    <t>JOSEPH</t>
  </si>
  <si>
    <t>MORADEYO</t>
  </si>
  <si>
    <t>PRISCILLA OLUWADARASIMI</t>
  </si>
  <si>
    <t>ISMAIL</t>
  </si>
  <si>
    <t>MABUB</t>
  </si>
  <si>
    <t>EMIOLA</t>
  </si>
  <si>
    <t>MARVELLOUS QUADRI</t>
  </si>
  <si>
    <t>OBALOLUWA MUHAMMED</t>
  </si>
  <si>
    <t>OYINLOLA</t>
  </si>
  <si>
    <t>IBUKUNOLUWA VICTOR</t>
  </si>
  <si>
    <t>ABDULSAMAD</t>
  </si>
  <si>
    <t>ADEBOWALE</t>
  </si>
  <si>
    <t>MARTIN</t>
  </si>
  <si>
    <t>MORADEYO PRISCILLA</t>
  </si>
  <si>
    <t>NIP:MEMUNAT AYOMIDE SARAFADEEN</t>
  </si>
  <si>
    <t>NIP:MFON JOSEPH AKPAN</t>
  </si>
  <si>
    <t>ADEBOWALE MARTIN</t>
  </si>
  <si>
    <t>ISAAC</t>
  </si>
  <si>
    <t>EYINJUOLUWA HERITAGE</t>
  </si>
  <si>
    <t>ISAAC HERITAGE</t>
  </si>
  <si>
    <t>NIP:ABDULAZEEZ AYOMIDE MUTAIRU</t>
  </si>
  <si>
    <t>NIP:SODIQ NAFIU OLATEJU-SODIQ NAFIU</t>
  </si>
  <si>
    <t>NIP:NURUDEEN IBRAHIM KUNLE</t>
  </si>
  <si>
    <t>NIP:EBENEZER OLALEKAN ADEBOYE</t>
  </si>
  <si>
    <t>NIP:ONI NICHOLAS OLUMUYIWA</t>
  </si>
  <si>
    <t>NIP:AYOTUNDE JOSEPH OBEY</t>
  </si>
  <si>
    <t>NIP:KARIMA YUSUF TAJUDEEN-Adeyanju Hasbullah Okikiola</t>
  </si>
  <si>
    <t>KARIMA YUSUF TAJUDEEN</t>
  </si>
  <si>
    <t>DAYO SAMUEL FEYIJIMI</t>
  </si>
  <si>
    <t>ADEYANJU HASBULLAH</t>
  </si>
  <si>
    <t>ADEBOYE FAMILY</t>
  </si>
  <si>
    <t>OBEY FAMILY</t>
  </si>
  <si>
    <t>MUTAIRU FAMILY</t>
  </si>
  <si>
    <t>SAHEED IBRAHIM AND BISOLA</t>
  </si>
  <si>
    <t>FEYIJIMI JADEN</t>
  </si>
  <si>
    <t>MORAKINYO</t>
  </si>
  <si>
    <t>TESTIMONY AYANFE</t>
  </si>
  <si>
    <t>OLADOSU</t>
  </si>
  <si>
    <t>ABDULLAHI OLUWASEYI</t>
  </si>
  <si>
    <t>AKPAN</t>
  </si>
  <si>
    <t>FRANCIS</t>
  </si>
  <si>
    <t>ONI</t>
  </si>
  <si>
    <t>AARON OLUWADEMILADE</t>
  </si>
  <si>
    <t>NIP:MOSES NOAH OLUWASEYI</t>
  </si>
  <si>
    <t>NIP:OLADOSU TOSIN ELIZABETH</t>
  </si>
  <si>
    <t>NIP:ABIOLA ADELEYE IGE</t>
  </si>
  <si>
    <t>NIP:MARY MOJISOLA OLUWALOGBON</t>
  </si>
  <si>
    <t>OLUWAFEMI FAMILY</t>
  </si>
  <si>
    <t>IGE FAMILY</t>
  </si>
  <si>
    <t>ALADESAYE VINCENT</t>
  </si>
  <si>
    <t>ONI AARON</t>
  </si>
  <si>
    <t>AKPAN FRANCIS</t>
  </si>
  <si>
    <t>MOSES HEPHZIBAH</t>
  </si>
  <si>
    <t>OFURE DIVINE EDIALE</t>
  </si>
  <si>
    <t>OSIGWE FAMILY</t>
  </si>
  <si>
    <t>NURUDEEN</t>
  </si>
  <si>
    <t>ABU-BAKIR</t>
  </si>
  <si>
    <t>NURUDEEN ABU-BAKIR</t>
  </si>
  <si>
    <t>NIP:PATRICK OBEH ONOJA</t>
  </si>
  <si>
    <t>NIP:RUTH KEMI OLADEHINDE</t>
  </si>
  <si>
    <t>NIP:TIAMIYU ADEWALE NAJEEM</t>
  </si>
  <si>
    <t>NIP:OLAKUNLE ISAAC OLADAPO</t>
  </si>
  <si>
    <t>ONOJA MIRACLE</t>
  </si>
  <si>
    <t>JOHN FAMILY</t>
  </si>
  <si>
    <t>OLUNIYI DAVID</t>
  </si>
  <si>
    <t>OLADAPO FAMILY</t>
  </si>
  <si>
    <t>TIAMIYU AISHAT</t>
  </si>
  <si>
    <t>OYINLOLA IBUKUNOLUWA</t>
  </si>
  <si>
    <t>EMIOLA FAMILY</t>
  </si>
  <si>
    <t>ISMAIL MABUB</t>
  </si>
  <si>
    <t>OLADOSU ABDULLAHI</t>
  </si>
  <si>
    <t>NIP:NOAH OLUWASEYI MOSES-Hephzibah sch fees</t>
  </si>
  <si>
    <t>NIP:PRISCILLA NANAADJUA KOOMSON-Heritage Isaac Part Sch fee</t>
  </si>
  <si>
    <t>NIP:PRISCILLA NANAADJUA KOOMSON-Morakinyo Testimony part sch fees</t>
  </si>
  <si>
    <t>NIP:TOYIN MARY OLATUNJI</t>
  </si>
  <si>
    <t>TESTIMONY MORAKINYO</t>
  </si>
  <si>
    <t>OLATUNJI FAMILY</t>
  </si>
  <si>
    <t>NIP:ANUOLUWAPO DEBORAH OLADELE-oluwashola Elizabeth and Esther</t>
  </si>
  <si>
    <t>PATIENCE DANIEL</t>
  </si>
  <si>
    <t>OLUWASHOLA FAMILY</t>
  </si>
  <si>
    <t>ISSAH IMOLE</t>
  </si>
  <si>
    <t>NIP:ODUNAYO IRETIOLUWA AKINDUN</t>
  </si>
  <si>
    <t>OGOOLUWADE JOSEPH</t>
  </si>
  <si>
    <t>NIP:OLUWEMIMO OLUFISAYO AKINBOSOYE-Daniel and Deborah Akinbosoye</t>
  </si>
  <si>
    <t>NIP:IFEOLUWA ESTHER ADENIYI</t>
  </si>
  <si>
    <t>NIP:OLABISI KAOSARAT LAMIDI</t>
  </si>
  <si>
    <t>NIP:JANET IDOWU SOLADEMI</t>
  </si>
  <si>
    <t>PS:FRANKLIN IRETIOLUWAOPIN</t>
  </si>
  <si>
    <t>KOLAWOLE FAMILY</t>
  </si>
  <si>
    <t>FRANKLIN GRACE-ANN</t>
  </si>
  <si>
    <t>ALIDU AZEEZAT</t>
  </si>
  <si>
    <t>AKINBOSOYE FAMILY</t>
  </si>
  <si>
    <t>GANFO JOSHUA</t>
  </si>
  <si>
    <t>NELSON HARRY</t>
  </si>
  <si>
    <t>OLABIYI</t>
  </si>
  <si>
    <t>TIARAOLUWA ESTHER</t>
  </si>
  <si>
    <t>NIP:BOLAJOKO MUIBAT OLASOMI</t>
  </si>
  <si>
    <t>NIP:SAIDI ABIOLA LATEEF</t>
  </si>
  <si>
    <t>NIP:BEATRICE FOLASHADE SANUSI</t>
  </si>
  <si>
    <t>NIP:SULIYAT OPEYEMI SAHEED</t>
  </si>
  <si>
    <t>NIP:ALABI RASHEED OLANREWAJU</t>
  </si>
  <si>
    <t>PS:OLADOSU ROKIBAT OPEYEMI</t>
  </si>
  <si>
    <t>NIP:BENJAMIN JOSEPH</t>
  </si>
  <si>
    <t>NIP:MARY OLOLADE AKINYEMI</t>
  </si>
  <si>
    <t>samson oluwafunmibi akande</t>
  </si>
  <si>
    <t>BENJAMIN GRANT</t>
  </si>
  <si>
    <t>ALABI ADEKUNLE</t>
  </si>
  <si>
    <t>ABDULLATEEF MUHAMMED</t>
  </si>
  <si>
    <t>ADEKUNLE MUMINAT</t>
  </si>
  <si>
    <t>PELUMI ADEBAYO AWODOLA</t>
  </si>
  <si>
    <t>OLABIYI TIARAOLUWA</t>
  </si>
  <si>
    <t>AWODOLA JOSHUA AYOMIDE</t>
  </si>
  <si>
    <t>For Orinayo and Imoleayo Oyetunji</t>
  </si>
  <si>
    <t>NIP:AKINYEMI AKINPELU TIMOTHY-</t>
  </si>
  <si>
    <t>AYOBAMI KASALI - Abdulazeez Abdullah Balance</t>
  </si>
  <si>
    <t>AKINYEMI DANIEL</t>
  </si>
  <si>
    <t>OYETUNJI FAMILY</t>
  </si>
  <si>
    <t>NIP:SAHEED ADEKUNLE ADEBUNMI</t>
  </si>
  <si>
    <t>ADEBUNMI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</si>
</sst>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₦&quot;* #,##0.00_-;\-&quot;₦&quot;* #,##0.00_-;_-&quot;₦&quot;* &quot;-&quot;??_-;_-@"/>
    <numFmt numFmtId="165" formatCode="dd\ mmm\ yyyy"/>
    <numFmt numFmtId="166" formatCode="_-[$₦-46A]* #,##0.00_-;\-[$₦-46A]* #,##0.00_-;_-[$₦-46A]* &quot;-&quot;??_-;_-@_-"/>
    <numFmt numFmtId="167" formatCode="[$-409]dd\-mmm\-yy;@"/>
  </numFmts>
  <fonts count="12" x14ac:knownFonts="1">
    <font>
      <sz val="11"/>
      <color rgb="FF000000"/>
      <name val="Calibri"/>
      <scheme val="minor"/>
    </font>
    <font>
      <b/>
      <sz val="14"/>
      <color rgb="FFFFFFFF"/>
      <name val="Cambria"/>
      <family val="1"/>
    </font>
    <font>
      <b/>
      <sz val="14"/>
      <color rgb="FF000000"/>
      <name val="Cambria"/>
      <family val="1"/>
    </font>
    <font>
      <sz val="8"/>
      <name val="Calibri"/>
      <family val="2"/>
      <scheme val="minor"/>
    </font>
    <font>
      <sz val="14"/>
      <color rgb="FF000000"/>
      <name val="Cambria"/>
      <family val="1"/>
    </font>
    <font>
      <sz val="14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165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applyNumberFormat="1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0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0" fontId="9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584-1839-4DFB-BFEC-499BCA7BEA2A}">
  <sheetPr codeName="Sheet10">
    <pageSetUpPr fitToPage="1"/>
  </sheetPr>
  <dimension ref="A1:AF995"/>
  <sheetViews>
    <sheetView zoomScaleNormal="100" workbookViewId="0">
      <pane xSplit="4" ySplit="1" topLeftCell="AA2" activePane="bottomRight" state="frozen"/>
      <selection activeCell="B16" sqref="B16"/>
      <selection pane="topRight" activeCell="B16" sqref="B16"/>
      <selection pane="bottomLeft" activeCell="B16" sqref="B16"/>
      <selection pane="bottomRight" activeCell="AA16" sqref="AA16"/>
    </sheetView>
  </sheetViews>
  <sheetFormatPr defaultColWidth="16.5703125" defaultRowHeight="15.75" x14ac:dyDescent="0.25"/>
  <cols>
    <col min="1" max="1" width="16.42578125" style="21" bestFit="1" customWidth="1"/>
    <col min="2" max="2" width="35.7109375" style="21" bestFit="1" customWidth="1"/>
    <col min="3" max="3" width="33.140625" style="21" bestFit="1" customWidth="1"/>
    <col min="4" max="4" width="12.28515625" style="21" bestFit="1" customWidth="1"/>
    <col min="5" max="5" width="12.7109375" style="21" bestFit="1" customWidth="1"/>
    <col min="6" max="6" width="17.5703125" style="21" bestFit="1" customWidth="1"/>
    <col min="7" max="7" width="14.28515625" style="21" bestFit="1" customWidth="1"/>
    <col min="8" max="8" width="18.140625" style="21" bestFit="1" customWidth="1"/>
    <col min="9" max="9" width="15.28515625" style="21" bestFit="1" customWidth="1"/>
    <col min="10" max="10" width="14.28515625" style="21" bestFit="1" customWidth="1"/>
    <col min="11" max="11" width="17.5703125" style="21" bestFit="1" customWidth="1"/>
    <col min="12" max="12" width="15.5703125" style="21" bestFit="1" customWidth="1"/>
    <col min="13" max="13" width="18.42578125" style="21" bestFit="1" customWidth="1"/>
    <col min="14" max="14" width="15.5703125" style="21" bestFit="1" customWidth="1"/>
    <col min="15" max="16" width="17.5703125" style="21" bestFit="1" customWidth="1"/>
    <col min="17" max="18" width="15.5703125" style="21" bestFit="1" customWidth="1"/>
    <col min="19" max="19" width="16.85546875" style="21" bestFit="1" customWidth="1"/>
    <col min="20" max="20" width="18.42578125" style="21" bestFit="1" customWidth="1"/>
    <col min="21" max="21" width="14.42578125" style="21" bestFit="1" customWidth="1"/>
    <col min="22" max="22" width="30" style="21" bestFit="1" customWidth="1"/>
    <col min="23" max="23" width="35.7109375" style="21" bestFit="1" customWidth="1"/>
    <col min="24" max="24" width="20.7109375" style="21" bestFit="1" customWidth="1"/>
    <col min="25" max="25" width="17.85546875" style="21" bestFit="1" customWidth="1"/>
    <col min="26" max="27" width="17.5703125" style="21" bestFit="1" customWidth="1"/>
    <col min="28" max="28" width="17.5703125" style="35" bestFit="1" customWidth="1"/>
    <col min="29" max="29" width="19.7109375" style="21" bestFit="1" customWidth="1"/>
    <col min="30" max="30" width="19" style="21" bestFit="1" customWidth="1"/>
    <col min="31" max="31" width="21.85546875" style="21" bestFit="1" customWidth="1"/>
    <col min="32" max="32" width="13.140625" style="21" bestFit="1" customWidth="1"/>
    <col min="33" max="16384" width="16.5703125" style="21"/>
  </cols>
  <sheetData>
    <row r="1" spans="1:32" x14ac:dyDescent="0.25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141</v>
      </c>
      <c r="AD1" s="20" t="s">
        <v>142</v>
      </c>
      <c r="AE1" s="20" t="s">
        <v>143</v>
      </c>
      <c r="AF1" s="20" t="s">
        <v>251</v>
      </c>
    </row>
    <row r="2" spans="1:32" x14ac:dyDescent="0.25">
      <c r="A2" s="22" t="s">
        <v>228</v>
      </c>
      <c r="B2" s="22" t="s">
        <v>232</v>
      </c>
      <c r="C2" s="22" t="s">
        <v>44</v>
      </c>
      <c r="D2" s="23">
        <v>0.25</v>
      </c>
      <c r="E2" s="24">
        <v>0</v>
      </c>
      <c r="F2" s="24">
        <v>26000</v>
      </c>
      <c r="G2" s="24">
        <v>4000</v>
      </c>
      <c r="H2" s="24">
        <v>0</v>
      </c>
      <c r="I2" s="24">
        <v>0</v>
      </c>
      <c r="J2" s="24">
        <f t="shared" ref="J2:J33" si="0">(1-$D2)*E2</f>
        <v>0</v>
      </c>
      <c r="K2" s="24">
        <f t="shared" ref="K2:K33" si="1">(1-$D2)*F2</f>
        <v>19500</v>
      </c>
      <c r="L2" s="24">
        <f t="shared" ref="L2:L33" si="2">G2</f>
        <v>4000</v>
      </c>
      <c r="M2" s="24">
        <f t="shared" ref="M2:M33" si="3">(1-$D2)*H2</f>
        <v>0</v>
      </c>
      <c r="N2" s="24">
        <f t="shared" ref="N2:N33" si="4">(1-$D2)*I2</f>
        <v>0</v>
      </c>
      <c r="O2" s="24">
        <v>13380</v>
      </c>
      <c r="P2" s="24">
        <v>7550</v>
      </c>
      <c r="Q2" s="24">
        <v>0</v>
      </c>
      <c r="R2" s="24">
        <v>0</v>
      </c>
      <c r="S2" s="24">
        <v>0</v>
      </c>
      <c r="T2" s="24">
        <v>6000</v>
      </c>
      <c r="U2" s="24">
        <v>0</v>
      </c>
      <c r="V2" s="24">
        <v>0</v>
      </c>
      <c r="W2" s="24">
        <v>0</v>
      </c>
      <c r="X2" s="24">
        <v>0</v>
      </c>
      <c r="Y2" s="24">
        <v>750</v>
      </c>
      <c r="Z2" s="24">
        <f t="shared" ref="Z2:Z33" si="5">SUM(J2:Y2)</f>
        <v>51180</v>
      </c>
      <c r="AA2" s="24">
        <v>51180</v>
      </c>
      <c r="AB2" s="20">
        <f t="shared" ref="AB2:AB33" si="6">Z2-AA2</f>
        <v>0</v>
      </c>
      <c r="AC2" s="24">
        <f t="shared" ref="AC2:AC33" si="7">IF(AND($T2=6000, ($T2+$W2-$AB2)&gt;=6000),T2,"")</f>
        <v>6000</v>
      </c>
      <c r="AD2" s="24" t="str">
        <f t="shared" ref="AD2:AD33" si="8">IF(AND($T2=8000, ($T2+$W2-$AB2)&gt;=8000),T2,"")</f>
        <v/>
      </c>
      <c r="AE2" s="24" t="str">
        <f t="shared" ref="AE2:AE33" si="9">IF(($T2+$W2-$AB2)&gt;=$T2+8000,W2,"")</f>
        <v/>
      </c>
      <c r="AF2" s="25" t="s">
        <v>318</v>
      </c>
    </row>
    <row r="3" spans="1:32" x14ac:dyDescent="0.25">
      <c r="A3" s="22" t="s">
        <v>228</v>
      </c>
      <c r="B3" s="22" t="s">
        <v>229</v>
      </c>
      <c r="C3" s="22" t="s">
        <v>48</v>
      </c>
      <c r="D3" s="23">
        <v>0.25</v>
      </c>
      <c r="E3" s="24">
        <v>0</v>
      </c>
      <c r="F3" s="24">
        <v>28000</v>
      </c>
      <c r="G3" s="24">
        <v>4000</v>
      </c>
      <c r="H3" s="24">
        <v>0</v>
      </c>
      <c r="I3" s="24">
        <v>5000</v>
      </c>
      <c r="J3" s="24">
        <f t="shared" si="0"/>
        <v>0</v>
      </c>
      <c r="K3" s="24">
        <f t="shared" si="1"/>
        <v>21000</v>
      </c>
      <c r="L3" s="24">
        <f t="shared" si="2"/>
        <v>4000</v>
      </c>
      <c r="M3" s="24">
        <f t="shared" si="3"/>
        <v>0</v>
      </c>
      <c r="N3" s="24">
        <f t="shared" si="4"/>
        <v>3750</v>
      </c>
      <c r="O3" s="24">
        <v>26150</v>
      </c>
      <c r="P3" s="24">
        <v>11330</v>
      </c>
      <c r="Q3" s="24">
        <v>0</v>
      </c>
      <c r="R3" s="24">
        <v>0</v>
      </c>
      <c r="S3" s="24">
        <v>0</v>
      </c>
      <c r="T3" s="24">
        <v>6000</v>
      </c>
      <c r="U3" s="24">
        <v>0</v>
      </c>
      <c r="V3" s="24">
        <v>0</v>
      </c>
      <c r="W3" s="24">
        <v>0</v>
      </c>
      <c r="X3" s="24">
        <v>0</v>
      </c>
      <c r="Y3" s="24">
        <v>125</v>
      </c>
      <c r="Z3" s="24">
        <f t="shared" si="5"/>
        <v>72355</v>
      </c>
      <c r="AA3" s="24">
        <v>30000</v>
      </c>
      <c r="AB3" s="20">
        <f t="shared" si="6"/>
        <v>42355</v>
      </c>
      <c r="AC3" s="24" t="str">
        <f t="shared" si="7"/>
        <v/>
      </c>
      <c r="AD3" s="24" t="str">
        <f t="shared" si="8"/>
        <v/>
      </c>
      <c r="AE3" s="24" t="str">
        <f t="shared" si="9"/>
        <v/>
      </c>
      <c r="AF3" s="25" t="s">
        <v>318</v>
      </c>
    </row>
    <row r="4" spans="1:32" x14ac:dyDescent="0.25">
      <c r="A4" s="22" t="s">
        <v>186</v>
      </c>
      <c r="B4" s="22" t="s">
        <v>187</v>
      </c>
      <c r="C4" s="22" t="s">
        <v>69</v>
      </c>
      <c r="D4" s="23">
        <v>0</v>
      </c>
      <c r="E4" s="24">
        <v>0</v>
      </c>
      <c r="F4" s="24">
        <v>40000</v>
      </c>
      <c r="G4" s="24">
        <v>5000</v>
      </c>
      <c r="H4" s="24">
        <v>2000</v>
      </c>
      <c r="I4" s="24">
        <v>8000</v>
      </c>
      <c r="J4" s="24">
        <f t="shared" si="0"/>
        <v>0</v>
      </c>
      <c r="K4" s="24">
        <f t="shared" si="1"/>
        <v>40000</v>
      </c>
      <c r="L4" s="24">
        <f t="shared" si="2"/>
        <v>5000</v>
      </c>
      <c r="M4" s="24">
        <f t="shared" si="3"/>
        <v>2000</v>
      </c>
      <c r="N4" s="24">
        <f t="shared" si="4"/>
        <v>8000</v>
      </c>
      <c r="O4" s="24">
        <f>11880-6180</f>
        <v>5700</v>
      </c>
      <c r="P4" s="24">
        <f>14330-11400</f>
        <v>2930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f t="shared" si="5"/>
        <v>63630</v>
      </c>
      <c r="AA4" s="24">
        <v>40000</v>
      </c>
      <c r="AB4" s="20">
        <f t="shared" si="6"/>
        <v>23630</v>
      </c>
      <c r="AC4" s="24" t="str">
        <f t="shared" si="7"/>
        <v/>
      </c>
      <c r="AD4" s="24" t="str">
        <f t="shared" si="8"/>
        <v/>
      </c>
      <c r="AE4" s="24" t="str">
        <f t="shared" si="9"/>
        <v/>
      </c>
      <c r="AF4" s="25" t="s">
        <v>318</v>
      </c>
    </row>
    <row r="5" spans="1:32" x14ac:dyDescent="0.25">
      <c r="A5" s="22" t="s">
        <v>28</v>
      </c>
      <c r="B5" s="22" t="s">
        <v>29</v>
      </c>
      <c r="C5" s="22" t="s">
        <v>47</v>
      </c>
      <c r="D5" s="23">
        <v>0.25</v>
      </c>
      <c r="E5" s="24">
        <v>0</v>
      </c>
      <c r="F5" s="24">
        <v>26000</v>
      </c>
      <c r="G5" s="24">
        <v>4000</v>
      </c>
      <c r="H5" s="24">
        <v>0</v>
      </c>
      <c r="I5" s="24">
        <v>0</v>
      </c>
      <c r="J5" s="24">
        <f t="shared" si="0"/>
        <v>0</v>
      </c>
      <c r="K5" s="24">
        <f t="shared" si="1"/>
        <v>19500</v>
      </c>
      <c r="L5" s="24">
        <f t="shared" si="2"/>
        <v>4000</v>
      </c>
      <c r="M5" s="24">
        <f t="shared" si="3"/>
        <v>0</v>
      </c>
      <c r="N5" s="24">
        <f t="shared" si="4"/>
        <v>0</v>
      </c>
      <c r="O5" s="24">
        <v>24930</v>
      </c>
      <c r="P5" s="24">
        <v>10730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f t="shared" si="5"/>
        <v>59160</v>
      </c>
      <c r="AA5" s="24">
        <v>0</v>
      </c>
      <c r="AB5" s="20">
        <f t="shared" si="6"/>
        <v>59160</v>
      </c>
      <c r="AC5" s="24" t="str">
        <f t="shared" si="7"/>
        <v/>
      </c>
      <c r="AD5" s="24" t="str">
        <f t="shared" si="8"/>
        <v/>
      </c>
      <c r="AE5" s="24" t="str">
        <f t="shared" si="9"/>
        <v/>
      </c>
      <c r="AF5" s="25" t="s">
        <v>318</v>
      </c>
    </row>
    <row r="6" spans="1:32" x14ac:dyDescent="0.25">
      <c r="A6" s="22" t="s">
        <v>28</v>
      </c>
      <c r="B6" s="22" t="s">
        <v>226</v>
      </c>
      <c r="C6" s="22" t="s">
        <v>30</v>
      </c>
      <c r="D6" s="23">
        <v>0.25</v>
      </c>
      <c r="E6" s="24">
        <v>0</v>
      </c>
      <c r="F6" s="24">
        <v>26000</v>
      </c>
      <c r="G6" s="24">
        <v>4000</v>
      </c>
      <c r="H6" s="24">
        <v>1000</v>
      </c>
      <c r="I6" s="24">
        <v>0</v>
      </c>
      <c r="J6" s="24">
        <f t="shared" si="0"/>
        <v>0</v>
      </c>
      <c r="K6" s="24">
        <f t="shared" si="1"/>
        <v>19500</v>
      </c>
      <c r="L6" s="24">
        <f t="shared" si="2"/>
        <v>4000</v>
      </c>
      <c r="M6" s="24">
        <f t="shared" si="3"/>
        <v>750</v>
      </c>
      <c r="N6" s="24">
        <f t="shared" si="4"/>
        <v>0</v>
      </c>
      <c r="O6" s="24">
        <v>12480</v>
      </c>
      <c r="P6" s="24">
        <v>7550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f t="shared" si="5"/>
        <v>44280</v>
      </c>
      <c r="AA6" s="24">
        <v>0</v>
      </c>
      <c r="AB6" s="20">
        <f t="shared" si="6"/>
        <v>44280</v>
      </c>
      <c r="AC6" s="24" t="str">
        <f t="shared" si="7"/>
        <v/>
      </c>
      <c r="AD6" s="24" t="str">
        <f t="shared" si="8"/>
        <v/>
      </c>
      <c r="AE6" s="24" t="str">
        <f t="shared" si="9"/>
        <v/>
      </c>
      <c r="AF6" s="25" t="s">
        <v>318</v>
      </c>
    </row>
    <row r="7" spans="1:32" x14ac:dyDescent="0.25">
      <c r="A7" s="22" t="s">
        <v>175</v>
      </c>
      <c r="B7" s="22" t="s">
        <v>202</v>
      </c>
      <c r="C7" s="22" t="s">
        <v>44</v>
      </c>
      <c r="D7" s="23">
        <v>0.25</v>
      </c>
      <c r="E7" s="24">
        <v>0</v>
      </c>
      <c r="F7" s="24">
        <v>26000</v>
      </c>
      <c r="G7" s="24">
        <v>4000</v>
      </c>
      <c r="H7" s="24">
        <v>0</v>
      </c>
      <c r="I7" s="24">
        <v>0</v>
      </c>
      <c r="J7" s="24">
        <f t="shared" si="0"/>
        <v>0</v>
      </c>
      <c r="K7" s="24">
        <f t="shared" si="1"/>
        <v>19500</v>
      </c>
      <c r="L7" s="24">
        <f t="shared" si="2"/>
        <v>4000</v>
      </c>
      <c r="M7" s="24">
        <f t="shared" si="3"/>
        <v>0</v>
      </c>
      <c r="N7" s="24">
        <f t="shared" si="4"/>
        <v>0</v>
      </c>
      <c r="O7" s="24">
        <v>13380</v>
      </c>
      <c r="P7" s="24">
        <v>7550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f t="shared" si="5"/>
        <v>44430</v>
      </c>
      <c r="AA7" s="24">
        <v>20000</v>
      </c>
      <c r="AB7" s="20">
        <f t="shared" si="6"/>
        <v>24430</v>
      </c>
      <c r="AC7" s="24" t="str">
        <f t="shared" si="7"/>
        <v/>
      </c>
      <c r="AD7" s="24" t="str">
        <f t="shared" si="8"/>
        <v/>
      </c>
      <c r="AE7" s="24" t="str">
        <f t="shared" si="9"/>
        <v/>
      </c>
      <c r="AF7" s="25" t="s">
        <v>318</v>
      </c>
    </row>
    <row r="8" spans="1:32" x14ac:dyDescent="0.25">
      <c r="A8" s="22" t="s">
        <v>175</v>
      </c>
      <c r="B8" s="22" t="s">
        <v>176</v>
      </c>
      <c r="C8" s="22" t="s">
        <v>30</v>
      </c>
      <c r="D8" s="23">
        <v>0.25</v>
      </c>
      <c r="E8" s="24">
        <v>0</v>
      </c>
      <c r="F8" s="24">
        <v>26000</v>
      </c>
      <c r="G8" s="24">
        <v>4000</v>
      </c>
      <c r="H8" s="24">
        <v>1000</v>
      </c>
      <c r="I8" s="24">
        <v>0</v>
      </c>
      <c r="J8" s="24">
        <f t="shared" si="0"/>
        <v>0</v>
      </c>
      <c r="K8" s="24">
        <f t="shared" si="1"/>
        <v>19500</v>
      </c>
      <c r="L8" s="24">
        <f t="shared" si="2"/>
        <v>4000</v>
      </c>
      <c r="M8" s="24">
        <f t="shared" si="3"/>
        <v>750</v>
      </c>
      <c r="N8" s="24">
        <f t="shared" si="4"/>
        <v>0</v>
      </c>
      <c r="O8" s="24">
        <v>12480</v>
      </c>
      <c r="P8" s="24">
        <v>7550</v>
      </c>
      <c r="Q8" s="24">
        <v>0</v>
      </c>
      <c r="R8" s="24">
        <v>0</v>
      </c>
      <c r="S8" s="24">
        <v>0</v>
      </c>
      <c r="T8" s="24">
        <v>6000</v>
      </c>
      <c r="U8" s="24">
        <v>0</v>
      </c>
      <c r="V8" s="24">
        <v>0</v>
      </c>
      <c r="W8" s="24">
        <v>0</v>
      </c>
      <c r="X8" s="24">
        <v>0</v>
      </c>
      <c r="Y8" s="24">
        <v>-90</v>
      </c>
      <c r="Z8" s="24">
        <f t="shared" si="5"/>
        <v>50190</v>
      </c>
      <c r="AA8" s="24">
        <v>30000</v>
      </c>
      <c r="AB8" s="20">
        <f t="shared" si="6"/>
        <v>20190</v>
      </c>
      <c r="AC8" s="24" t="str">
        <f t="shared" si="7"/>
        <v/>
      </c>
      <c r="AD8" s="24" t="str">
        <f t="shared" si="8"/>
        <v/>
      </c>
      <c r="AE8" s="24" t="str">
        <f t="shared" si="9"/>
        <v/>
      </c>
      <c r="AF8" s="25" t="s">
        <v>318</v>
      </c>
    </row>
    <row r="9" spans="1:32" x14ac:dyDescent="0.25">
      <c r="A9" s="22" t="s">
        <v>175</v>
      </c>
      <c r="B9" s="22" t="s">
        <v>201</v>
      </c>
      <c r="C9" s="22" t="s">
        <v>30</v>
      </c>
      <c r="D9" s="23">
        <v>0.25</v>
      </c>
      <c r="E9" s="24">
        <v>0</v>
      </c>
      <c r="F9" s="24">
        <v>26000</v>
      </c>
      <c r="G9" s="24">
        <v>4000</v>
      </c>
      <c r="H9" s="24">
        <v>1000</v>
      </c>
      <c r="I9" s="24">
        <v>0</v>
      </c>
      <c r="J9" s="24">
        <f t="shared" si="0"/>
        <v>0</v>
      </c>
      <c r="K9" s="24">
        <f t="shared" si="1"/>
        <v>19500</v>
      </c>
      <c r="L9" s="24">
        <f t="shared" si="2"/>
        <v>4000</v>
      </c>
      <c r="M9" s="24">
        <f t="shared" si="3"/>
        <v>750</v>
      </c>
      <c r="N9" s="24">
        <f t="shared" si="4"/>
        <v>0</v>
      </c>
      <c r="O9" s="24">
        <v>12480</v>
      </c>
      <c r="P9" s="24">
        <v>7550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f t="shared" si="5"/>
        <v>44280</v>
      </c>
      <c r="AA9" s="24">
        <v>20000</v>
      </c>
      <c r="AB9" s="20">
        <f t="shared" si="6"/>
        <v>24280</v>
      </c>
      <c r="AC9" s="24" t="str">
        <f t="shared" si="7"/>
        <v/>
      </c>
      <c r="AD9" s="24" t="str">
        <f t="shared" si="8"/>
        <v/>
      </c>
      <c r="AE9" s="24" t="str">
        <f t="shared" si="9"/>
        <v/>
      </c>
      <c r="AF9" s="25" t="s">
        <v>318</v>
      </c>
    </row>
    <row r="10" spans="1:32" x14ac:dyDescent="0.25">
      <c r="A10" s="22" t="s">
        <v>175</v>
      </c>
      <c r="B10" s="22" t="s">
        <v>203</v>
      </c>
      <c r="C10" s="22" t="s">
        <v>46</v>
      </c>
      <c r="D10" s="23">
        <v>0.25</v>
      </c>
      <c r="E10" s="24">
        <v>0</v>
      </c>
      <c r="F10" s="24">
        <v>28000</v>
      </c>
      <c r="G10" s="24">
        <v>4000</v>
      </c>
      <c r="H10" s="24">
        <v>0</v>
      </c>
      <c r="I10" s="24">
        <v>5000</v>
      </c>
      <c r="J10" s="24">
        <f t="shared" si="0"/>
        <v>0</v>
      </c>
      <c r="K10" s="24">
        <f t="shared" si="1"/>
        <v>21000</v>
      </c>
      <c r="L10" s="24">
        <f t="shared" si="2"/>
        <v>4000</v>
      </c>
      <c r="M10" s="24">
        <f t="shared" si="3"/>
        <v>0</v>
      </c>
      <c r="N10" s="24">
        <f t="shared" si="4"/>
        <v>3750</v>
      </c>
      <c r="O10" s="24">
        <v>27310</v>
      </c>
      <c r="P10" s="24">
        <v>13230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f t="shared" si="5"/>
        <v>69290</v>
      </c>
      <c r="AA10" s="24">
        <v>20000</v>
      </c>
      <c r="AB10" s="20">
        <f t="shared" si="6"/>
        <v>49290</v>
      </c>
      <c r="AC10" s="24" t="str">
        <f t="shared" si="7"/>
        <v/>
      </c>
      <c r="AD10" s="24" t="str">
        <f t="shared" si="8"/>
        <v/>
      </c>
      <c r="AE10" s="24" t="str">
        <f t="shared" si="9"/>
        <v/>
      </c>
      <c r="AF10" s="25" t="s">
        <v>318</v>
      </c>
    </row>
    <row r="11" spans="1:32" x14ac:dyDescent="0.25">
      <c r="A11" s="22" t="s">
        <v>354</v>
      </c>
      <c r="B11" s="22" t="s">
        <v>355</v>
      </c>
      <c r="C11" s="22" t="s">
        <v>46</v>
      </c>
      <c r="D11" s="23">
        <v>0</v>
      </c>
      <c r="E11" s="24">
        <v>2000</v>
      </c>
      <c r="F11" s="24">
        <v>28000</v>
      </c>
      <c r="G11" s="24">
        <v>4000</v>
      </c>
      <c r="H11" s="24">
        <v>2500</v>
      </c>
      <c r="I11" s="24">
        <v>5000</v>
      </c>
      <c r="J11" s="24">
        <f t="shared" si="0"/>
        <v>2000</v>
      </c>
      <c r="K11" s="24">
        <f t="shared" si="1"/>
        <v>28000</v>
      </c>
      <c r="L11" s="24">
        <f t="shared" si="2"/>
        <v>4000</v>
      </c>
      <c r="M11" s="24">
        <f t="shared" si="3"/>
        <v>2500</v>
      </c>
      <c r="N11" s="24">
        <f t="shared" si="4"/>
        <v>5000</v>
      </c>
      <c r="O11" s="24">
        <v>27310</v>
      </c>
      <c r="P11" s="24">
        <v>13230</v>
      </c>
      <c r="Q11" s="24">
        <v>16000</v>
      </c>
      <c r="R11" s="24">
        <v>8000</v>
      </c>
      <c r="S11" s="24">
        <v>7000</v>
      </c>
      <c r="T11" s="24">
        <v>6000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f t="shared" si="5"/>
        <v>119040</v>
      </c>
      <c r="AA11" s="24">
        <v>119000</v>
      </c>
      <c r="AB11" s="20">
        <f t="shared" si="6"/>
        <v>40</v>
      </c>
      <c r="AC11" s="24" t="str">
        <f t="shared" si="7"/>
        <v/>
      </c>
      <c r="AD11" s="24" t="str">
        <f t="shared" si="8"/>
        <v/>
      </c>
      <c r="AE11" s="24" t="str">
        <f t="shared" si="9"/>
        <v/>
      </c>
      <c r="AF11" s="25"/>
    </row>
    <row r="12" spans="1:32" x14ac:dyDescent="0.25">
      <c r="A12" s="22" t="s">
        <v>34</v>
      </c>
      <c r="B12" s="22" t="s">
        <v>190</v>
      </c>
      <c r="C12" s="22" t="s">
        <v>36</v>
      </c>
      <c r="D12" s="23">
        <v>0.25</v>
      </c>
      <c r="E12" s="24">
        <v>0</v>
      </c>
      <c r="F12" s="24">
        <v>33000</v>
      </c>
      <c r="G12" s="24">
        <v>5000</v>
      </c>
      <c r="H12" s="24">
        <v>2000</v>
      </c>
      <c r="I12" s="24">
        <v>6000</v>
      </c>
      <c r="J12" s="24">
        <f t="shared" si="0"/>
        <v>0</v>
      </c>
      <c r="K12" s="24">
        <f t="shared" si="1"/>
        <v>24750</v>
      </c>
      <c r="L12" s="24">
        <f t="shared" si="2"/>
        <v>5000</v>
      </c>
      <c r="M12" s="24">
        <f t="shared" si="3"/>
        <v>1500</v>
      </c>
      <c r="N12" s="24">
        <f t="shared" si="4"/>
        <v>4500</v>
      </c>
      <c r="O12" s="24">
        <f>19500-11160</f>
        <v>8340</v>
      </c>
      <c r="P12" s="24">
        <f>14330-5700</f>
        <v>8630</v>
      </c>
      <c r="Q12" s="24">
        <v>0</v>
      </c>
      <c r="R12" s="24">
        <v>0</v>
      </c>
      <c r="S12" s="24">
        <v>0</v>
      </c>
      <c r="T12" s="24">
        <v>8000</v>
      </c>
      <c r="U12" s="24">
        <v>0</v>
      </c>
      <c r="V12" s="24">
        <v>0</v>
      </c>
      <c r="W12" s="24">
        <v>0</v>
      </c>
      <c r="X12" s="24">
        <v>0</v>
      </c>
      <c r="Y12" s="24">
        <v>750</v>
      </c>
      <c r="Z12" s="24">
        <f t="shared" si="5"/>
        <v>61470</v>
      </c>
      <c r="AA12" s="24">
        <v>35000</v>
      </c>
      <c r="AB12" s="20">
        <f t="shared" si="6"/>
        <v>26470</v>
      </c>
      <c r="AC12" s="24" t="str">
        <f t="shared" si="7"/>
        <v/>
      </c>
      <c r="AD12" s="24" t="str">
        <f t="shared" si="8"/>
        <v/>
      </c>
      <c r="AE12" s="24" t="str">
        <f t="shared" si="9"/>
        <v/>
      </c>
      <c r="AF12" s="25" t="s">
        <v>318</v>
      </c>
    </row>
    <row r="13" spans="1:32" x14ac:dyDescent="0.25">
      <c r="A13" s="22" t="s">
        <v>34</v>
      </c>
      <c r="B13" s="22" t="s">
        <v>35</v>
      </c>
      <c r="C13" s="22" t="s">
        <v>91</v>
      </c>
      <c r="D13" s="23">
        <v>0.25</v>
      </c>
      <c r="E13" s="24">
        <v>0</v>
      </c>
      <c r="F13" s="24">
        <v>40000</v>
      </c>
      <c r="G13" s="24">
        <v>5000</v>
      </c>
      <c r="H13" s="24">
        <v>2000</v>
      </c>
      <c r="I13" s="24">
        <v>8000</v>
      </c>
      <c r="J13" s="24">
        <f t="shared" si="0"/>
        <v>0</v>
      </c>
      <c r="K13" s="24">
        <f t="shared" si="1"/>
        <v>30000</v>
      </c>
      <c r="L13" s="24">
        <f t="shared" si="2"/>
        <v>5000</v>
      </c>
      <c r="M13" s="24">
        <f t="shared" si="3"/>
        <v>1500</v>
      </c>
      <c r="N13" s="24">
        <f t="shared" si="4"/>
        <v>6000</v>
      </c>
      <c r="O13" s="24">
        <v>0</v>
      </c>
      <c r="P13" s="24">
        <f>14330-5700</f>
        <v>8630</v>
      </c>
      <c r="Q13" s="24">
        <v>20000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540</v>
      </c>
      <c r="Z13" s="24">
        <f t="shared" si="5"/>
        <v>71670</v>
      </c>
      <c r="AA13" s="24">
        <v>35000</v>
      </c>
      <c r="AB13" s="20">
        <f t="shared" si="6"/>
        <v>36670</v>
      </c>
      <c r="AC13" s="24" t="str">
        <f t="shared" si="7"/>
        <v/>
      </c>
      <c r="AD13" s="24" t="str">
        <f t="shared" si="8"/>
        <v/>
      </c>
      <c r="AE13" s="24" t="str">
        <f t="shared" si="9"/>
        <v/>
      </c>
      <c r="AF13" s="25" t="s">
        <v>318</v>
      </c>
    </row>
    <row r="14" spans="1:32" x14ac:dyDescent="0.25">
      <c r="A14" s="22" t="s">
        <v>37</v>
      </c>
      <c r="B14" s="22" t="s">
        <v>38</v>
      </c>
      <c r="C14" s="22" t="s">
        <v>47</v>
      </c>
      <c r="D14" s="23">
        <v>0.5</v>
      </c>
      <c r="E14" s="24">
        <v>0</v>
      </c>
      <c r="F14" s="24">
        <v>26000</v>
      </c>
      <c r="G14" s="24">
        <v>4000</v>
      </c>
      <c r="H14" s="24">
        <v>0</v>
      </c>
      <c r="I14" s="24">
        <v>0</v>
      </c>
      <c r="J14" s="24">
        <f t="shared" si="0"/>
        <v>0</v>
      </c>
      <c r="K14" s="24">
        <f t="shared" si="1"/>
        <v>13000</v>
      </c>
      <c r="L14" s="24">
        <f t="shared" si="2"/>
        <v>4000</v>
      </c>
      <c r="M14" s="24">
        <f t="shared" si="3"/>
        <v>0</v>
      </c>
      <c r="N14" s="24">
        <f t="shared" si="4"/>
        <v>0</v>
      </c>
      <c r="O14" s="24">
        <v>24930</v>
      </c>
      <c r="P14" s="24">
        <v>10730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f t="shared" si="5"/>
        <v>52660</v>
      </c>
      <c r="AA14" s="24">
        <v>52660</v>
      </c>
      <c r="AB14" s="20">
        <f t="shared" si="6"/>
        <v>0</v>
      </c>
      <c r="AC14" s="24" t="str">
        <f t="shared" si="7"/>
        <v/>
      </c>
      <c r="AD14" s="24" t="str">
        <f t="shared" si="8"/>
        <v/>
      </c>
      <c r="AE14" s="24" t="str">
        <f t="shared" si="9"/>
        <v/>
      </c>
      <c r="AF14" s="25" t="s">
        <v>318</v>
      </c>
    </row>
    <row r="15" spans="1:32" x14ac:dyDescent="0.25">
      <c r="A15" s="22" t="s">
        <v>37</v>
      </c>
      <c r="B15" s="22" t="s">
        <v>39</v>
      </c>
      <c r="C15" s="22" t="s">
        <v>46</v>
      </c>
      <c r="D15" s="23">
        <v>0.5</v>
      </c>
      <c r="E15" s="24">
        <v>0</v>
      </c>
      <c r="F15" s="24">
        <v>28000</v>
      </c>
      <c r="G15" s="24">
        <v>4000</v>
      </c>
      <c r="H15" s="24">
        <v>0</v>
      </c>
      <c r="I15" s="24">
        <v>5000</v>
      </c>
      <c r="J15" s="24">
        <f t="shared" si="0"/>
        <v>0</v>
      </c>
      <c r="K15" s="24">
        <f t="shared" si="1"/>
        <v>14000</v>
      </c>
      <c r="L15" s="24">
        <f t="shared" si="2"/>
        <v>4000</v>
      </c>
      <c r="M15" s="24">
        <f t="shared" si="3"/>
        <v>0</v>
      </c>
      <c r="N15" s="24">
        <f t="shared" si="4"/>
        <v>2500</v>
      </c>
      <c r="O15" s="24">
        <v>27310</v>
      </c>
      <c r="P15" s="24">
        <v>13230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-530</v>
      </c>
      <c r="Z15" s="24">
        <f t="shared" si="5"/>
        <v>60510</v>
      </c>
      <c r="AA15" s="24">
        <v>61090</v>
      </c>
      <c r="AB15" s="20">
        <f t="shared" si="6"/>
        <v>-580</v>
      </c>
      <c r="AC15" s="24" t="str">
        <f t="shared" si="7"/>
        <v/>
      </c>
      <c r="AD15" s="24" t="str">
        <f t="shared" si="8"/>
        <v/>
      </c>
      <c r="AE15" s="24" t="str">
        <f t="shared" si="9"/>
        <v/>
      </c>
      <c r="AF15" s="25" t="s">
        <v>318</v>
      </c>
    </row>
    <row r="16" spans="1:32" x14ac:dyDescent="0.25">
      <c r="A16" s="22" t="s">
        <v>144</v>
      </c>
      <c r="B16" s="22" t="s">
        <v>145</v>
      </c>
      <c r="C16" s="22" t="s">
        <v>49</v>
      </c>
      <c r="D16" s="23">
        <v>0.05</v>
      </c>
      <c r="E16" s="24">
        <v>0</v>
      </c>
      <c r="F16" s="24">
        <v>26000</v>
      </c>
      <c r="G16" s="24">
        <v>4000</v>
      </c>
      <c r="H16" s="24">
        <v>1000</v>
      </c>
      <c r="I16" s="24">
        <v>0</v>
      </c>
      <c r="J16" s="24">
        <f t="shared" si="0"/>
        <v>0</v>
      </c>
      <c r="K16" s="24">
        <f t="shared" si="1"/>
        <v>24700</v>
      </c>
      <c r="L16" s="24">
        <f t="shared" si="2"/>
        <v>4000</v>
      </c>
      <c r="M16" s="24">
        <f t="shared" si="3"/>
        <v>950</v>
      </c>
      <c r="N16" s="24">
        <f t="shared" si="4"/>
        <v>0</v>
      </c>
      <c r="O16" s="24">
        <v>6840</v>
      </c>
      <c r="P16" s="24">
        <v>5300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-1000</v>
      </c>
      <c r="Z16" s="24">
        <f t="shared" si="5"/>
        <v>40790</v>
      </c>
      <c r="AA16" s="24">
        <v>42140</v>
      </c>
      <c r="AB16" s="20">
        <f t="shared" si="6"/>
        <v>-1350</v>
      </c>
      <c r="AC16" s="24" t="str">
        <f t="shared" si="7"/>
        <v/>
      </c>
      <c r="AD16" s="24" t="str">
        <f t="shared" si="8"/>
        <v/>
      </c>
      <c r="AE16" s="24" t="str">
        <f t="shared" si="9"/>
        <v/>
      </c>
      <c r="AF16" s="25" t="s">
        <v>319</v>
      </c>
    </row>
    <row r="17" spans="1:32" x14ac:dyDescent="0.25">
      <c r="A17" s="22" t="s">
        <v>40</v>
      </c>
      <c r="B17" s="22" t="s">
        <v>41</v>
      </c>
      <c r="C17" s="22" t="s">
        <v>47</v>
      </c>
      <c r="D17" s="23">
        <v>0.25</v>
      </c>
      <c r="E17" s="24">
        <v>0</v>
      </c>
      <c r="F17" s="24">
        <v>26000</v>
      </c>
      <c r="G17" s="24">
        <v>4000</v>
      </c>
      <c r="H17" s="24">
        <v>0</v>
      </c>
      <c r="I17" s="24">
        <v>0</v>
      </c>
      <c r="J17" s="24">
        <f t="shared" si="0"/>
        <v>0</v>
      </c>
      <c r="K17" s="24">
        <f t="shared" si="1"/>
        <v>19500</v>
      </c>
      <c r="L17" s="24">
        <f t="shared" si="2"/>
        <v>4000</v>
      </c>
      <c r="M17" s="24">
        <f t="shared" si="3"/>
        <v>0</v>
      </c>
      <c r="N17" s="24">
        <f t="shared" si="4"/>
        <v>0</v>
      </c>
      <c r="O17" s="24">
        <v>24930</v>
      </c>
      <c r="P17" s="24">
        <v>10730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f t="shared" si="5"/>
        <v>59160</v>
      </c>
      <c r="AA17" s="24">
        <v>40000</v>
      </c>
      <c r="AB17" s="20">
        <f t="shared" si="6"/>
        <v>19160</v>
      </c>
      <c r="AC17" s="24" t="str">
        <f t="shared" si="7"/>
        <v/>
      </c>
      <c r="AD17" s="24" t="str">
        <f t="shared" si="8"/>
        <v/>
      </c>
      <c r="AE17" s="24" t="str">
        <f t="shared" si="9"/>
        <v/>
      </c>
      <c r="AF17" s="25" t="s">
        <v>318</v>
      </c>
    </row>
    <row r="18" spans="1:32" x14ac:dyDescent="0.25">
      <c r="A18" s="22" t="s">
        <v>40</v>
      </c>
      <c r="B18" s="22" t="s">
        <v>133</v>
      </c>
      <c r="C18" s="22" t="s">
        <v>46</v>
      </c>
      <c r="D18" s="23">
        <v>0.25</v>
      </c>
      <c r="E18" s="24">
        <v>0</v>
      </c>
      <c r="F18" s="24">
        <v>28000</v>
      </c>
      <c r="G18" s="24">
        <v>4000</v>
      </c>
      <c r="H18" s="24">
        <v>0</v>
      </c>
      <c r="I18" s="24">
        <v>5000</v>
      </c>
      <c r="J18" s="24">
        <f t="shared" si="0"/>
        <v>0</v>
      </c>
      <c r="K18" s="24">
        <f t="shared" si="1"/>
        <v>21000</v>
      </c>
      <c r="L18" s="24">
        <f t="shared" si="2"/>
        <v>4000</v>
      </c>
      <c r="M18" s="24">
        <f t="shared" si="3"/>
        <v>0</v>
      </c>
      <c r="N18" s="24">
        <f t="shared" si="4"/>
        <v>3750</v>
      </c>
      <c r="O18" s="24">
        <v>27310</v>
      </c>
      <c r="P18" s="24">
        <v>10740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f t="shared" si="5"/>
        <v>66800</v>
      </c>
      <c r="AA18" s="24">
        <v>40000</v>
      </c>
      <c r="AB18" s="20">
        <f t="shared" si="6"/>
        <v>26800</v>
      </c>
      <c r="AC18" s="24" t="str">
        <f t="shared" si="7"/>
        <v/>
      </c>
      <c r="AD18" s="24" t="str">
        <f t="shared" si="8"/>
        <v/>
      </c>
      <c r="AE18" s="24" t="str">
        <f t="shared" si="9"/>
        <v/>
      </c>
      <c r="AF18" s="25" t="s">
        <v>318</v>
      </c>
    </row>
    <row r="19" spans="1:32" x14ac:dyDescent="0.25">
      <c r="A19" s="22" t="s">
        <v>327</v>
      </c>
      <c r="B19" s="22" t="s">
        <v>328</v>
      </c>
      <c r="C19" s="22" t="s">
        <v>91</v>
      </c>
      <c r="D19" s="23">
        <v>0</v>
      </c>
      <c r="E19" s="24">
        <v>3000</v>
      </c>
      <c r="F19" s="24">
        <v>40000</v>
      </c>
      <c r="G19" s="24">
        <v>5000</v>
      </c>
      <c r="H19" s="24">
        <v>2000</v>
      </c>
      <c r="I19" s="24">
        <v>8000</v>
      </c>
      <c r="J19" s="24">
        <f t="shared" si="0"/>
        <v>3000</v>
      </c>
      <c r="K19" s="24">
        <f t="shared" si="1"/>
        <v>40000</v>
      </c>
      <c r="L19" s="24">
        <f t="shared" si="2"/>
        <v>5000</v>
      </c>
      <c r="M19" s="24">
        <f t="shared" si="3"/>
        <v>2000</v>
      </c>
      <c r="N19" s="24">
        <f t="shared" si="4"/>
        <v>8000</v>
      </c>
      <c r="O19" s="24">
        <v>11880</v>
      </c>
      <c r="P19" s="24">
        <v>14330</v>
      </c>
      <c r="Q19" s="24">
        <v>20000</v>
      </c>
      <c r="R19" s="24">
        <v>8000</v>
      </c>
      <c r="S19" s="24">
        <v>8000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f t="shared" si="5"/>
        <v>120210</v>
      </c>
      <c r="AA19" s="24">
        <v>120210</v>
      </c>
      <c r="AB19" s="20">
        <f t="shared" si="6"/>
        <v>0</v>
      </c>
      <c r="AC19" s="24" t="str">
        <f t="shared" si="7"/>
        <v/>
      </c>
      <c r="AD19" s="24" t="str">
        <f t="shared" si="8"/>
        <v/>
      </c>
      <c r="AE19" s="24" t="str">
        <f t="shared" si="9"/>
        <v/>
      </c>
      <c r="AF19" s="25"/>
    </row>
    <row r="20" spans="1:32" x14ac:dyDescent="0.25">
      <c r="A20" s="22" t="s">
        <v>42</v>
      </c>
      <c r="B20" s="22" t="s">
        <v>134</v>
      </c>
      <c r="C20" s="22" t="s">
        <v>30</v>
      </c>
      <c r="D20" s="23">
        <v>0.3</v>
      </c>
      <c r="E20" s="24">
        <v>0</v>
      </c>
      <c r="F20" s="24">
        <v>26000</v>
      </c>
      <c r="G20" s="24">
        <v>4000</v>
      </c>
      <c r="H20" s="24">
        <v>1000</v>
      </c>
      <c r="I20" s="24">
        <v>0</v>
      </c>
      <c r="J20" s="24">
        <f t="shared" si="0"/>
        <v>0</v>
      </c>
      <c r="K20" s="24">
        <f t="shared" si="1"/>
        <v>18200</v>
      </c>
      <c r="L20" s="24">
        <f t="shared" si="2"/>
        <v>4000</v>
      </c>
      <c r="M20" s="24">
        <f t="shared" si="3"/>
        <v>700</v>
      </c>
      <c r="N20" s="24">
        <f t="shared" si="4"/>
        <v>0</v>
      </c>
      <c r="O20" s="24">
        <v>12480</v>
      </c>
      <c r="P20" s="24">
        <v>7550</v>
      </c>
      <c r="Q20" s="24">
        <v>0</v>
      </c>
      <c r="R20" s="24">
        <v>0</v>
      </c>
      <c r="S20" s="24">
        <v>0</v>
      </c>
      <c r="T20" s="24">
        <v>6000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f t="shared" si="5"/>
        <v>48930</v>
      </c>
      <c r="AA20" s="24">
        <f>42930+8765</f>
        <v>51695</v>
      </c>
      <c r="AB20" s="20">
        <f t="shared" si="6"/>
        <v>-2765</v>
      </c>
      <c r="AC20" s="24">
        <f t="shared" si="7"/>
        <v>6000</v>
      </c>
      <c r="AD20" s="24" t="str">
        <f t="shared" si="8"/>
        <v/>
      </c>
      <c r="AE20" s="24" t="str">
        <f t="shared" si="9"/>
        <v/>
      </c>
      <c r="AF20" s="25" t="s">
        <v>319</v>
      </c>
    </row>
    <row r="21" spans="1:32" x14ac:dyDescent="0.25">
      <c r="A21" s="22" t="s">
        <v>42</v>
      </c>
      <c r="B21" s="22" t="s">
        <v>43</v>
      </c>
      <c r="C21" s="22" t="s">
        <v>33</v>
      </c>
      <c r="D21" s="23">
        <v>0.3</v>
      </c>
      <c r="E21" s="24">
        <v>0</v>
      </c>
      <c r="F21" s="24">
        <v>28000</v>
      </c>
      <c r="G21" s="24">
        <v>4000</v>
      </c>
      <c r="H21" s="24">
        <v>2500</v>
      </c>
      <c r="I21" s="24">
        <v>5000</v>
      </c>
      <c r="J21" s="24">
        <f t="shared" si="0"/>
        <v>0</v>
      </c>
      <c r="K21" s="24">
        <f t="shared" si="1"/>
        <v>19600</v>
      </c>
      <c r="L21" s="24">
        <f t="shared" si="2"/>
        <v>4000</v>
      </c>
      <c r="M21" s="24">
        <f t="shared" si="3"/>
        <v>1750</v>
      </c>
      <c r="N21" s="24">
        <f t="shared" si="4"/>
        <v>3500</v>
      </c>
      <c r="O21" s="24">
        <v>25970</v>
      </c>
      <c r="P21" s="24">
        <v>11330</v>
      </c>
      <c r="Q21" s="24">
        <v>0</v>
      </c>
      <c r="R21" s="24">
        <v>0</v>
      </c>
      <c r="S21" s="24">
        <v>0</v>
      </c>
      <c r="T21" s="24">
        <v>6000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f t="shared" si="5"/>
        <v>72150</v>
      </c>
      <c r="AA21" s="24">
        <v>72150</v>
      </c>
      <c r="AB21" s="20">
        <f t="shared" si="6"/>
        <v>0</v>
      </c>
      <c r="AC21" s="24">
        <f t="shared" si="7"/>
        <v>6000</v>
      </c>
      <c r="AD21" s="24" t="str">
        <f t="shared" si="8"/>
        <v/>
      </c>
      <c r="AE21" s="24" t="str">
        <f t="shared" si="9"/>
        <v/>
      </c>
      <c r="AF21" s="25" t="s">
        <v>319</v>
      </c>
    </row>
    <row r="22" spans="1:32" x14ac:dyDescent="0.25">
      <c r="A22" s="22" t="s">
        <v>42</v>
      </c>
      <c r="B22" s="22" t="s">
        <v>45</v>
      </c>
      <c r="C22" s="22" t="s">
        <v>241</v>
      </c>
      <c r="D22" s="23">
        <v>0.25</v>
      </c>
      <c r="E22" s="24">
        <v>0</v>
      </c>
      <c r="F22" s="24">
        <v>28000</v>
      </c>
      <c r="G22" s="24">
        <v>4000</v>
      </c>
      <c r="H22" s="24">
        <v>0</v>
      </c>
      <c r="I22" s="24">
        <v>5000</v>
      </c>
      <c r="J22" s="24">
        <f t="shared" si="0"/>
        <v>0</v>
      </c>
      <c r="K22" s="24">
        <f t="shared" si="1"/>
        <v>21000</v>
      </c>
      <c r="L22" s="24">
        <f t="shared" si="2"/>
        <v>4000</v>
      </c>
      <c r="M22" s="24">
        <f t="shared" si="3"/>
        <v>0</v>
      </c>
      <c r="N22" s="24">
        <f t="shared" si="4"/>
        <v>3750</v>
      </c>
      <c r="O22" s="24">
        <v>28790</v>
      </c>
      <c r="P22" s="24">
        <v>13230</v>
      </c>
      <c r="Q22" s="24">
        <v>0</v>
      </c>
      <c r="R22" s="24">
        <v>0</v>
      </c>
      <c r="S22" s="24">
        <v>0</v>
      </c>
      <c r="T22" s="24">
        <v>6000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f t="shared" si="5"/>
        <v>76770</v>
      </c>
      <c r="AA22" s="24">
        <v>76770</v>
      </c>
      <c r="AB22" s="20">
        <f t="shared" si="6"/>
        <v>0</v>
      </c>
      <c r="AC22" s="24">
        <f t="shared" si="7"/>
        <v>6000</v>
      </c>
      <c r="AD22" s="24" t="str">
        <f t="shared" si="8"/>
        <v/>
      </c>
      <c r="AE22" s="24" t="str">
        <f t="shared" si="9"/>
        <v/>
      </c>
      <c r="AF22" s="25" t="s">
        <v>318</v>
      </c>
    </row>
    <row r="23" spans="1:32" x14ac:dyDescent="0.25">
      <c r="A23" s="22" t="s">
        <v>50</v>
      </c>
      <c r="B23" s="22" t="s">
        <v>51</v>
      </c>
      <c r="C23" s="22" t="s">
        <v>66</v>
      </c>
      <c r="D23" s="23">
        <v>0.5</v>
      </c>
      <c r="E23" s="24">
        <v>0</v>
      </c>
      <c r="F23" s="24">
        <v>33000</v>
      </c>
      <c r="G23" s="24">
        <v>5000</v>
      </c>
      <c r="H23" s="24">
        <v>2000</v>
      </c>
      <c r="I23" s="24">
        <v>6000</v>
      </c>
      <c r="J23" s="24">
        <f t="shared" si="0"/>
        <v>0</v>
      </c>
      <c r="K23" s="24">
        <f t="shared" si="1"/>
        <v>16500</v>
      </c>
      <c r="L23" s="24">
        <f t="shared" si="2"/>
        <v>5000</v>
      </c>
      <c r="M23" s="24">
        <f t="shared" si="3"/>
        <v>1000</v>
      </c>
      <c r="N23" s="24">
        <f t="shared" si="4"/>
        <v>3000</v>
      </c>
      <c r="O23" s="24">
        <v>22400</v>
      </c>
      <c r="P23" s="24">
        <f>14330-5700</f>
        <v>8630</v>
      </c>
      <c r="Q23" s="24">
        <v>0</v>
      </c>
      <c r="R23" s="24">
        <v>0</v>
      </c>
      <c r="S23" s="24">
        <v>0</v>
      </c>
      <c r="T23" s="24">
        <v>8000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f t="shared" si="5"/>
        <v>64530</v>
      </c>
      <c r="AA23" s="24">
        <v>20000</v>
      </c>
      <c r="AB23" s="20">
        <f t="shared" si="6"/>
        <v>44530</v>
      </c>
      <c r="AC23" s="24" t="str">
        <f t="shared" si="7"/>
        <v/>
      </c>
      <c r="AD23" s="24" t="str">
        <f t="shared" si="8"/>
        <v/>
      </c>
      <c r="AE23" s="24" t="str">
        <f t="shared" si="9"/>
        <v/>
      </c>
      <c r="AF23" s="25" t="s">
        <v>318</v>
      </c>
    </row>
    <row r="24" spans="1:32" x14ac:dyDescent="0.25">
      <c r="A24" s="22" t="s">
        <v>52</v>
      </c>
      <c r="B24" s="22" t="s">
        <v>55</v>
      </c>
      <c r="C24" s="22" t="s">
        <v>36</v>
      </c>
      <c r="D24" s="23">
        <v>0.3</v>
      </c>
      <c r="E24" s="24">
        <v>0</v>
      </c>
      <c r="F24" s="24">
        <v>33000</v>
      </c>
      <c r="G24" s="24">
        <v>5000</v>
      </c>
      <c r="H24" s="24">
        <v>2000</v>
      </c>
      <c r="I24" s="24">
        <v>6000</v>
      </c>
      <c r="J24" s="24">
        <f t="shared" si="0"/>
        <v>0</v>
      </c>
      <c r="K24" s="24">
        <f t="shared" si="1"/>
        <v>23100</v>
      </c>
      <c r="L24" s="24">
        <f t="shared" si="2"/>
        <v>5000</v>
      </c>
      <c r="M24" s="24">
        <f t="shared" si="3"/>
        <v>1400</v>
      </c>
      <c r="N24" s="24">
        <f t="shared" si="4"/>
        <v>4200</v>
      </c>
      <c r="O24" s="24">
        <v>19500</v>
      </c>
      <c r="P24" s="24">
        <v>14330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f t="shared" si="5"/>
        <v>67530</v>
      </c>
      <c r="AA24" s="24">
        <v>0</v>
      </c>
      <c r="AB24" s="20">
        <f t="shared" si="6"/>
        <v>67530</v>
      </c>
      <c r="AC24" s="24" t="str">
        <f t="shared" si="7"/>
        <v/>
      </c>
      <c r="AD24" s="24" t="str">
        <f t="shared" si="8"/>
        <v/>
      </c>
      <c r="AE24" s="24" t="str">
        <f t="shared" si="9"/>
        <v/>
      </c>
      <c r="AF24" s="25" t="s">
        <v>318</v>
      </c>
    </row>
    <row r="25" spans="1:32" x14ac:dyDescent="0.25">
      <c r="A25" s="22" t="s">
        <v>52</v>
      </c>
      <c r="B25" s="22" t="s">
        <v>53</v>
      </c>
      <c r="C25" s="22" t="s">
        <v>48</v>
      </c>
      <c r="D25" s="23">
        <v>0.25</v>
      </c>
      <c r="E25" s="24">
        <v>0</v>
      </c>
      <c r="F25" s="24">
        <v>28000</v>
      </c>
      <c r="G25" s="24">
        <v>4000</v>
      </c>
      <c r="H25" s="24">
        <v>0</v>
      </c>
      <c r="I25" s="24">
        <v>5000</v>
      </c>
      <c r="J25" s="24">
        <f t="shared" si="0"/>
        <v>0</v>
      </c>
      <c r="K25" s="24">
        <f t="shared" si="1"/>
        <v>21000</v>
      </c>
      <c r="L25" s="24">
        <f t="shared" si="2"/>
        <v>4000</v>
      </c>
      <c r="M25" s="24">
        <f t="shared" si="3"/>
        <v>0</v>
      </c>
      <c r="N25" s="24">
        <f t="shared" si="4"/>
        <v>3750</v>
      </c>
      <c r="O25" s="24">
        <v>26150</v>
      </c>
      <c r="P25" s="24">
        <v>11330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f t="shared" si="5"/>
        <v>66230</v>
      </c>
      <c r="AA25" s="24">
        <v>0</v>
      </c>
      <c r="AB25" s="20">
        <f t="shared" si="6"/>
        <v>66230</v>
      </c>
      <c r="AC25" s="24" t="str">
        <f t="shared" si="7"/>
        <v/>
      </c>
      <c r="AD25" s="24" t="str">
        <f t="shared" si="8"/>
        <v/>
      </c>
      <c r="AE25" s="24" t="str">
        <f t="shared" si="9"/>
        <v/>
      </c>
      <c r="AF25" s="25" t="s">
        <v>318</v>
      </c>
    </row>
    <row r="26" spans="1:32" x14ac:dyDescent="0.25">
      <c r="A26" s="22" t="s">
        <v>52</v>
      </c>
      <c r="B26" s="22" t="s">
        <v>54</v>
      </c>
      <c r="C26" s="22" t="s">
        <v>48</v>
      </c>
      <c r="D26" s="23">
        <v>0.25</v>
      </c>
      <c r="E26" s="24">
        <v>0</v>
      </c>
      <c r="F26" s="24">
        <v>28000</v>
      </c>
      <c r="G26" s="24">
        <v>4000</v>
      </c>
      <c r="H26" s="24">
        <v>0</v>
      </c>
      <c r="I26" s="24">
        <v>5000</v>
      </c>
      <c r="J26" s="24">
        <f t="shared" si="0"/>
        <v>0</v>
      </c>
      <c r="K26" s="24">
        <f t="shared" si="1"/>
        <v>21000</v>
      </c>
      <c r="L26" s="24">
        <f t="shared" si="2"/>
        <v>4000</v>
      </c>
      <c r="M26" s="24">
        <f t="shared" si="3"/>
        <v>0</v>
      </c>
      <c r="N26" s="24">
        <f t="shared" si="4"/>
        <v>3750</v>
      </c>
      <c r="O26" s="24">
        <v>26150</v>
      </c>
      <c r="P26" s="24">
        <v>11330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f t="shared" si="5"/>
        <v>66230</v>
      </c>
      <c r="AA26" s="24">
        <v>0</v>
      </c>
      <c r="AB26" s="20">
        <f t="shared" si="6"/>
        <v>66230</v>
      </c>
      <c r="AC26" s="24" t="str">
        <f t="shared" si="7"/>
        <v/>
      </c>
      <c r="AD26" s="24" t="str">
        <f t="shared" si="8"/>
        <v/>
      </c>
      <c r="AE26" s="24" t="str">
        <f t="shared" si="9"/>
        <v/>
      </c>
      <c r="AF26" s="25" t="s">
        <v>318</v>
      </c>
    </row>
    <row r="27" spans="1:32" x14ac:dyDescent="0.25">
      <c r="A27" s="22" t="s">
        <v>56</v>
      </c>
      <c r="B27" s="22" t="s">
        <v>172</v>
      </c>
      <c r="C27" s="22" t="s">
        <v>36</v>
      </c>
      <c r="D27" s="23">
        <v>0</v>
      </c>
      <c r="E27" s="24">
        <v>0</v>
      </c>
      <c r="F27" s="24">
        <v>33000</v>
      </c>
      <c r="G27" s="24">
        <v>5000</v>
      </c>
      <c r="H27" s="24">
        <v>2000</v>
      </c>
      <c r="I27" s="24">
        <v>6000</v>
      </c>
      <c r="J27" s="24">
        <f t="shared" si="0"/>
        <v>0</v>
      </c>
      <c r="K27" s="24">
        <f t="shared" si="1"/>
        <v>33000</v>
      </c>
      <c r="L27" s="24">
        <f t="shared" si="2"/>
        <v>5000</v>
      </c>
      <c r="M27" s="24">
        <f t="shared" si="3"/>
        <v>2000</v>
      </c>
      <c r="N27" s="24">
        <f t="shared" si="4"/>
        <v>6000</v>
      </c>
      <c r="O27" s="24">
        <v>19500</v>
      </c>
      <c r="P27" s="24">
        <v>14330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f t="shared" si="5"/>
        <v>79830</v>
      </c>
      <c r="AA27" s="24">
        <v>60000</v>
      </c>
      <c r="AB27" s="20">
        <f t="shared" si="6"/>
        <v>19830</v>
      </c>
      <c r="AC27" s="24" t="str">
        <f t="shared" si="7"/>
        <v/>
      </c>
      <c r="AD27" s="24" t="str">
        <f t="shared" si="8"/>
        <v/>
      </c>
      <c r="AE27" s="24" t="str">
        <f t="shared" si="9"/>
        <v/>
      </c>
      <c r="AF27" s="25" t="s">
        <v>318</v>
      </c>
    </row>
    <row r="28" spans="1:32" x14ac:dyDescent="0.25">
      <c r="A28" s="22" t="s">
        <v>56</v>
      </c>
      <c r="B28" s="22" t="s">
        <v>57</v>
      </c>
      <c r="C28" s="22" t="s">
        <v>66</v>
      </c>
      <c r="D28" s="23">
        <v>0.55000000000000004</v>
      </c>
      <c r="E28" s="24">
        <v>0</v>
      </c>
      <c r="F28" s="24">
        <v>33000</v>
      </c>
      <c r="G28" s="24">
        <v>5000</v>
      </c>
      <c r="H28" s="24">
        <v>2000</v>
      </c>
      <c r="I28" s="24">
        <v>6000</v>
      </c>
      <c r="J28" s="24">
        <f t="shared" si="0"/>
        <v>0</v>
      </c>
      <c r="K28" s="24">
        <f t="shared" si="1"/>
        <v>14849.999999999998</v>
      </c>
      <c r="L28" s="24">
        <f t="shared" si="2"/>
        <v>5000</v>
      </c>
      <c r="M28" s="24">
        <f t="shared" si="3"/>
        <v>899.99999999999989</v>
      </c>
      <c r="N28" s="24">
        <f t="shared" si="4"/>
        <v>2699.9999999999995</v>
      </c>
      <c r="O28" s="24">
        <v>22400</v>
      </c>
      <c r="P28" s="24">
        <v>14330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f t="shared" si="5"/>
        <v>60180</v>
      </c>
      <c r="AA28" s="24">
        <v>62230</v>
      </c>
      <c r="AB28" s="20">
        <f t="shared" si="6"/>
        <v>-2050</v>
      </c>
      <c r="AC28" s="24" t="str">
        <f t="shared" si="7"/>
        <v/>
      </c>
      <c r="AD28" s="24" t="str">
        <f t="shared" si="8"/>
        <v/>
      </c>
      <c r="AE28" s="24" t="str">
        <f t="shared" si="9"/>
        <v/>
      </c>
      <c r="AF28" s="25" t="s">
        <v>319</v>
      </c>
    </row>
    <row r="29" spans="1:32" x14ac:dyDescent="0.25">
      <c r="A29" s="22" t="s">
        <v>56</v>
      </c>
      <c r="B29" s="22" t="s">
        <v>135</v>
      </c>
      <c r="C29" s="22" t="s">
        <v>30</v>
      </c>
      <c r="D29" s="23">
        <v>0</v>
      </c>
      <c r="E29" s="24">
        <v>0</v>
      </c>
      <c r="F29" s="24">
        <v>26000</v>
      </c>
      <c r="G29" s="24">
        <v>4000</v>
      </c>
      <c r="H29" s="24">
        <v>1000</v>
      </c>
      <c r="I29" s="24">
        <v>0</v>
      </c>
      <c r="J29" s="24">
        <f t="shared" si="0"/>
        <v>0</v>
      </c>
      <c r="K29" s="24">
        <f t="shared" si="1"/>
        <v>26000</v>
      </c>
      <c r="L29" s="24">
        <f t="shared" si="2"/>
        <v>4000</v>
      </c>
      <c r="M29" s="24">
        <f t="shared" si="3"/>
        <v>1000</v>
      </c>
      <c r="N29" s="24">
        <f t="shared" si="4"/>
        <v>0</v>
      </c>
      <c r="O29" s="24">
        <v>12480</v>
      </c>
      <c r="P29" s="24">
        <v>7550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-400</v>
      </c>
      <c r="Z29" s="24">
        <f t="shared" si="5"/>
        <v>50630</v>
      </c>
      <c r="AA29" s="24">
        <v>0</v>
      </c>
      <c r="AB29" s="20">
        <f t="shared" si="6"/>
        <v>50630</v>
      </c>
      <c r="AC29" s="24" t="str">
        <f t="shared" si="7"/>
        <v/>
      </c>
      <c r="AD29" s="24" t="str">
        <f t="shared" si="8"/>
        <v/>
      </c>
      <c r="AE29" s="24" t="str">
        <f t="shared" si="9"/>
        <v/>
      </c>
      <c r="AF29" s="25" t="s">
        <v>318</v>
      </c>
    </row>
    <row r="30" spans="1:32" x14ac:dyDescent="0.25">
      <c r="A30" s="22" t="s">
        <v>196</v>
      </c>
      <c r="B30" s="22" t="s">
        <v>207</v>
      </c>
      <c r="C30" s="22" t="s">
        <v>49</v>
      </c>
      <c r="D30" s="23">
        <v>0</v>
      </c>
      <c r="E30" s="24">
        <v>0</v>
      </c>
      <c r="F30" s="24">
        <v>26000</v>
      </c>
      <c r="G30" s="24">
        <v>4000</v>
      </c>
      <c r="H30" s="24">
        <v>1000</v>
      </c>
      <c r="I30" s="24">
        <v>0</v>
      </c>
      <c r="J30" s="24">
        <f t="shared" si="0"/>
        <v>0</v>
      </c>
      <c r="K30" s="24">
        <f t="shared" si="1"/>
        <v>26000</v>
      </c>
      <c r="L30" s="24">
        <f t="shared" si="2"/>
        <v>4000</v>
      </c>
      <c r="M30" s="24">
        <f t="shared" si="3"/>
        <v>1000</v>
      </c>
      <c r="N30" s="24">
        <f t="shared" si="4"/>
        <v>0</v>
      </c>
      <c r="O30" s="24">
        <v>6840</v>
      </c>
      <c r="P30" s="24">
        <v>5300</v>
      </c>
      <c r="Q30" s="24">
        <v>16000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f t="shared" si="5"/>
        <v>59140</v>
      </c>
      <c r="AA30" s="24">
        <v>43140</v>
      </c>
      <c r="AB30" s="20">
        <f t="shared" si="6"/>
        <v>16000</v>
      </c>
      <c r="AC30" s="24" t="str">
        <f t="shared" si="7"/>
        <v/>
      </c>
      <c r="AD30" s="24" t="str">
        <f t="shared" si="8"/>
        <v/>
      </c>
      <c r="AE30" s="24" t="str">
        <f t="shared" si="9"/>
        <v/>
      </c>
      <c r="AF30" s="25" t="s">
        <v>318</v>
      </c>
    </row>
    <row r="31" spans="1:32" x14ac:dyDescent="0.25">
      <c r="A31" s="22" t="s">
        <v>38</v>
      </c>
      <c r="B31" s="22" t="s">
        <v>195</v>
      </c>
      <c r="C31" s="22" t="s">
        <v>30</v>
      </c>
      <c r="D31" s="23">
        <v>0</v>
      </c>
      <c r="E31" s="24">
        <v>0</v>
      </c>
      <c r="F31" s="24">
        <v>26000</v>
      </c>
      <c r="G31" s="24">
        <v>4000</v>
      </c>
      <c r="H31" s="24">
        <v>1000</v>
      </c>
      <c r="I31" s="24">
        <v>0</v>
      </c>
      <c r="J31" s="24">
        <f t="shared" si="0"/>
        <v>0</v>
      </c>
      <c r="K31" s="24">
        <f t="shared" si="1"/>
        <v>26000</v>
      </c>
      <c r="L31" s="24">
        <f t="shared" si="2"/>
        <v>4000</v>
      </c>
      <c r="M31" s="24">
        <f t="shared" si="3"/>
        <v>1000</v>
      </c>
      <c r="N31" s="24">
        <f t="shared" si="4"/>
        <v>0</v>
      </c>
      <c r="O31" s="24">
        <v>12480</v>
      </c>
      <c r="P31" s="24">
        <v>7550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11000</v>
      </c>
      <c r="Z31" s="24">
        <f t="shared" si="5"/>
        <v>62030</v>
      </c>
      <c r="AA31" s="24">
        <v>0</v>
      </c>
      <c r="AB31" s="20">
        <f t="shared" si="6"/>
        <v>62030</v>
      </c>
      <c r="AC31" s="24" t="str">
        <f t="shared" si="7"/>
        <v/>
      </c>
      <c r="AD31" s="24" t="str">
        <f t="shared" si="8"/>
        <v/>
      </c>
      <c r="AE31" s="24" t="str">
        <f t="shared" si="9"/>
        <v/>
      </c>
      <c r="AF31" s="25" t="s">
        <v>318</v>
      </c>
    </row>
    <row r="32" spans="1:32" x14ac:dyDescent="0.25">
      <c r="A32" s="22" t="s">
        <v>38</v>
      </c>
      <c r="B32" s="22" t="s">
        <v>193</v>
      </c>
      <c r="C32" s="22" t="s">
        <v>69</v>
      </c>
      <c r="D32" s="23">
        <v>0</v>
      </c>
      <c r="E32" s="24">
        <v>0</v>
      </c>
      <c r="F32" s="24">
        <v>40000</v>
      </c>
      <c r="G32" s="24">
        <v>5000</v>
      </c>
      <c r="H32" s="24">
        <v>2000</v>
      </c>
      <c r="I32" s="24">
        <v>8000</v>
      </c>
      <c r="J32" s="24">
        <f t="shared" si="0"/>
        <v>0</v>
      </c>
      <c r="K32" s="24">
        <f t="shared" si="1"/>
        <v>40000</v>
      </c>
      <c r="L32" s="24">
        <f t="shared" si="2"/>
        <v>5000</v>
      </c>
      <c r="M32" s="24">
        <f t="shared" si="3"/>
        <v>2000</v>
      </c>
      <c r="N32" s="24">
        <f t="shared" si="4"/>
        <v>8000</v>
      </c>
      <c r="O32" s="24">
        <v>11880</v>
      </c>
      <c r="P32" s="24">
        <f>14330-5700</f>
        <v>8630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f t="shared" si="5"/>
        <v>75510</v>
      </c>
      <c r="AA32" s="24">
        <v>40000</v>
      </c>
      <c r="AB32" s="20">
        <f t="shared" si="6"/>
        <v>35510</v>
      </c>
      <c r="AC32" s="24" t="str">
        <f t="shared" si="7"/>
        <v/>
      </c>
      <c r="AD32" s="24" t="str">
        <f t="shared" si="8"/>
        <v/>
      </c>
      <c r="AE32" s="24" t="str">
        <f t="shared" si="9"/>
        <v/>
      </c>
      <c r="AF32" s="25" t="s">
        <v>318</v>
      </c>
    </row>
    <row r="33" spans="1:32" x14ac:dyDescent="0.25">
      <c r="A33" s="22" t="s">
        <v>181</v>
      </c>
      <c r="B33" s="22" t="s">
        <v>183</v>
      </c>
      <c r="C33" s="22" t="s">
        <v>49</v>
      </c>
      <c r="D33" s="23">
        <v>0.05</v>
      </c>
      <c r="E33" s="24">
        <v>0</v>
      </c>
      <c r="F33" s="24">
        <v>26000</v>
      </c>
      <c r="G33" s="24">
        <v>4000</v>
      </c>
      <c r="H33" s="24">
        <v>1000</v>
      </c>
      <c r="I33" s="24">
        <v>0</v>
      </c>
      <c r="J33" s="24">
        <f t="shared" si="0"/>
        <v>0</v>
      </c>
      <c r="K33" s="24">
        <f t="shared" si="1"/>
        <v>24700</v>
      </c>
      <c r="L33" s="24">
        <f t="shared" si="2"/>
        <v>4000</v>
      </c>
      <c r="M33" s="24">
        <f t="shared" si="3"/>
        <v>950</v>
      </c>
      <c r="N33" s="24">
        <f t="shared" si="4"/>
        <v>0</v>
      </c>
      <c r="O33" s="24">
        <v>6840</v>
      </c>
      <c r="P33" s="24">
        <v>5300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f t="shared" si="5"/>
        <v>41790</v>
      </c>
      <c r="AA33" s="24">
        <v>43140</v>
      </c>
      <c r="AB33" s="20">
        <f t="shared" si="6"/>
        <v>-1350</v>
      </c>
      <c r="AC33" s="24" t="str">
        <f t="shared" si="7"/>
        <v/>
      </c>
      <c r="AD33" s="24" t="str">
        <f t="shared" si="8"/>
        <v/>
      </c>
      <c r="AE33" s="24" t="str">
        <f t="shared" si="9"/>
        <v/>
      </c>
      <c r="AF33" s="25" t="s">
        <v>319</v>
      </c>
    </row>
    <row r="34" spans="1:32" x14ac:dyDescent="0.25">
      <c r="A34" s="22" t="s">
        <v>323</v>
      </c>
      <c r="B34" s="22" t="s">
        <v>324</v>
      </c>
      <c r="C34" s="22" t="s">
        <v>325</v>
      </c>
      <c r="D34" s="23">
        <v>0</v>
      </c>
      <c r="E34" s="24">
        <v>3000</v>
      </c>
      <c r="F34" s="24">
        <v>33000</v>
      </c>
      <c r="G34" s="24">
        <v>5000</v>
      </c>
      <c r="H34" s="24">
        <v>2000</v>
      </c>
      <c r="I34" s="24">
        <v>6000</v>
      </c>
      <c r="J34" s="24">
        <f t="shared" ref="J34:J65" si="10">(1-$D34)*E34</f>
        <v>3000</v>
      </c>
      <c r="K34" s="24">
        <f t="shared" ref="K34:K65" si="11">(1-$D34)*F34</f>
        <v>33000</v>
      </c>
      <c r="L34" s="24">
        <f t="shared" ref="L34:L65" si="12">G34</f>
        <v>5000</v>
      </c>
      <c r="M34" s="24">
        <f t="shared" ref="M34:M65" si="13">(1-$D34)*H34</f>
        <v>2000</v>
      </c>
      <c r="N34" s="24">
        <f t="shared" ref="N34:N65" si="14">(1-$D34)*I34</f>
        <v>6000</v>
      </c>
      <c r="O34" s="24">
        <f>19320-11160</f>
        <v>8160</v>
      </c>
      <c r="P34" s="24">
        <v>16190</v>
      </c>
      <c r="Q34" s="24">
        <v>12000</v>
      </c>
      <c r="R34" s="24">
        <v>8000</v>
      </c>
      <c r="S34" s="24">
        <v>8000</v>
      </c>
      <c r="T34" s="24">
        <v>8000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f t="shared" ref="Z34:Z65" si="15">SUM(J34:Y34)</f>
        <v>109350</v>
      </c>
      <c r="AA34" s="24">
        <v>60000</v>
      </c>
      <c r="AB34" s="20">
        <f t="shared" ref="AB34:AB65" si="16">Z34-AA34</f>
        <v>49350</v>
      </c>
      <c r="AC34" s="24" t="str">
        <f t="shared" ref="AC34:AC53" si="17">IF(AND($T34=6000, ($T34+$W34-$AB34)&gt;=6000),T34,"")</f>
        <v/>
      </c>
      <c r="AD34" s="24" t="str">
        <f t="shared" ref="AD34:AD53" si="18">IF(AND($T34=8000, ($T34+$W34-$AB34)&gt;=8000),T34,"")</f>
        <v/>
      </c>
      <c r="AE34" s="24" t="str">
        <f t="shared" ref="AE34:AE53" si="19">IF(($T34+$W34-$AB34)&gt;=$T34+8000,W34,"")</f>
        <v/>
      </c>
      <c r="AF34" s="25"/>
    </row>
    <row r="35" spans="1:32" x14ac:dyDescent="0.25">
      <c r="A35" s="22" t="s">
        <v>136</v>
      </c>
      <c r="B35" s="22" t="s">
        <v>233</v>
      </c>
      <c r="C35" s="22" t="s">
        <v>245</v>
      </c>
      <c r="D35" s="23">
        <v>0.25</v>
      </c>
      <c r="E35" s="24">
        <v>0</v>
      </c>
      <c r="F35" s="24">
        <v>26000</v>
      </c>
      <c r="G35" s="24">
        <v>2000</v>
      </c>
      <c r="H35" s="24">
        <v>0</v>
      </c>
      <c r="I35" s="24">
        <v>0</v>
      </c>
      <c r="J35" s="24">
        <f t="shared" si="10"/>
        <v>0</v>
      </c>
      <c r="K35" s="24">
        <f t="shared" si="11"/>
        <v>19500</v>
      </c>
      <c r="L35" s="24">
        <f t="shared" si="12"/>
        <v>2000</v>
      </c>
      <c r="M35" s="24">
        <f t="shared" si="13"/>
        <v>0</v>
      </c>
      <c r="N35" s="24">
        <f t="shared" si="14"/>
        <v>0</v>
      </c>
      <c r="O35" s="24">
        <v>0</v>
      </c>
      <c r="P35" s="24">
        <v>3050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f t="shared" si="15"/>
        <v>24550</v>
      </c>
      <c r="AA35" s="24">
        <v>11300</v>
      </c>
      <c r="AB35" s="20">
        <f t="shared" si="16"/>
        <v>13250</v>
      </c>
      <c r="AC35" s="24" t="str">
        <f t="shared" si="17"/>
        <v/>
      </c>
      <c r="AD35" s="24" t="str">
        <f t="shared" si="18"/>
        <v/>
      </c>
      <c r="AE35" s="24" t="str">
        <f t="shared" si="19"/>
        <v/>
      </c>
      <c r="AF35" s="25" t="s">
        <v>318</v>
      </c>
    </row>
    <row r="36" spans="1:32" x14ac:dyDescent="0.25">
      <c r="A36" s="22" t="s">
        <v>136</v>
      </c>
      <c r="B36" s="22" t="s">
        <v>137</v>
      </c>
      <c r="C36" s="22" t="s">
        <v>44</v>
      </c>
      <c r="D36" s="23">
        <v>0.3</v>
      </c>
      <c r="E36" s="24">
        <v>0</v>
      </c>
      <c r="F36" s="24">
        <v>26000</v>
      </c>
      <c r="G36" s="24">
        <v>4000</v>
      </c>
      <c r="H36" s="24">
        <v>0</v>
      </c>
      <c r="I36" s="24">
        <v>0</v>
      </c>
      <c r="J36" s="24">
        <f t="shared" si="10"/>
        <v>0</v>
      </c>
      <c r="K36" s="24">
        <f t="shared" si="11"/>
        <v>18200</v>
      </c>
      <c r="L36" s="24">
        <f t="shared" si="12"/>
        <v>4000</v>
      </c>
      <c r="M36" s="24">
        <f t="shared" si="13"/>
        <v>0</v>
      </c>
      <c r="N36" s="24">
        <f t="shared" si="14"/>
        <v>0</v>
      </c>
      <c r="O36" s="24">
        <v>13380</v>
      </c>
      <c r="P36" s="24">
        <v>7550</v>
      </c>
      <c r="Q36" s="24">
        <v>0</v>
      </c>
      <c r="R36" s="24">
        <v>0</v>
      </c>
      <c r="S36" s="24">
        <v>0</v>
      </c>
      <c r="T36" s="24">
        <v>6000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f t="shared" si="15"/>
        <v>49130</v>
      </c>
      <c r="AA36" s="24">
        <v>49130</v>
      </c>
      <c r="AB36" s="20">
        <f t="shared" si="16"/>
        <v>0</v>
      </c>
      <c r="AC36" s="24">
        <f t="shared" si="17"/>
        <v>6000</v>
      </c>
      <c r="AD36" s="24" t="str">
        <f t="shared" si="18"/>
        <v/>
      </c>
      <c r="AE36" s="24" t="str">
        <f t="shared" si="19"/>
        <v/>
      </c>
      <c r="AF36" s="25" t="s">
        <v>319</v>
      </c>
    </row>
    <row r="37" spans="1:32" x14ac:dyDescent="0.25">
      <c r="A37" s="22" t="s">
        <v>59</v>
      </c>
      <c r="B37" s="22" t="s">
        <v>61</v>
      </c>
      <c r="C37" s="22" t="s">
        <v>47</v>
      </c>
      <c r="D37" s="23">
        <v>0.25</v>
      </c>
      <c r="E37" s="24">
        <v>0</v>
      </c>
      <c r="F37" s="24">
        <v>26000</v>
      </c>
      <c r="G37" s="24">
        <v>4000</v>
      </c>
      <c r="H37" s="24">
        <v>0</v>
      </c>
      <c r="I37" s="24">
        <v>0</v>
      </c>
      <c r="J37" s="24">
        <f t="shared" si="10"/>
        <v>0</v>
      </c>
      <c r="K37" s="24">
        <f t="shared" si="11"/>
        <v>19500</v>
      </c>
      <c r="L37" s="24">
        <f t="shared" si="12"/>
        <v>4000</v>
      </c>
      <c r="M37" s="24">
        <f t="shared" si="13"/>
        <v>0</v>
      </c>
      <c r="N37" s="24">
        <f t="shared" si="14"/>
        <v>0</v>
      </c>
      <c r="O37" s="24">
        <v>24930</v>
      </c>
      <c r="P37" s="24">
        <v>10730</v>
      </c>
      <c r="Q37" s="24">
        <v>0</v>
      </c>
      <c r="R37" s="24">
        <v>0</v>
      </c>
      <c r="S37" s="24">
        <v>0</v>
      </c>
      <c r="T37" s="24">
        <v>6000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f t="shared" si="15"/>
        <v>65160</v>
      </c>
      <c r="AA37" s="24">
        <v>35000</v>
      </c>
      <c r="AB37" s="20">
        <f t="shared" si="16"/>
        <v>30160</v>
      </c>
      <c r="AC37" s="24" t="str">
        <f t="shared" si="17"/>
        <v/>
      </c>
      <c r="AD37" s="24" t="str">
        <f t="shared" si="18"/>
        <v/>
      </c>
      <c r="AE37" s="24" t="str">
        <f t="shared" si="19"/>
        <v/>
      </c>
      <c r="AF37" s="25" t="s">
        <v>318</v>
      </c>
    </row>
    <row r="38" spans="1:32" x14ac:dyDescent="0.25">
      <c r="A38" s="22" t="s">
        <v>59</v>
      </c>
      <c r="B38" s="22" t="s">
        <v>60</v>
      </c>
      <c r="C38" s="22" t="s">
        <v>48</v>
      </c>
      <c r="D38" s="23">
        <v>0.25</v>
      </c>
      <c r="E38" s="24">
        <v>0</v>
      </c>
      <c r="F38" s="24">
        <v>28000</v>
      </c>
      <c r="G38" s="24">
        <v>4000</v>
      </c>
      <c r="H38" s="24">
        <v>0</v>
      </c>
      <c r="I38" s="24">
        <v>5000</v>
      </c>
      <c r="J38" s="24">
        <f t="shared" si="10"/>
        <v>0</v>
      </c>
      <c r="K38" s="24">
        <f t="shared" si="11"/>
        <v>21000</v>
      </c>
      <c r="L38" s="24">
        <f t="shared" si="12"/>
        <v>4000</v>
      </c>
      <c r="M38" s="24">
        <f t="shared" si="13"/>
        <v>0</v>
      </c>
      <c r="N38" s="24">
        <f t="shared" si="14"/>
        <v>3750</v>
      </c>
      <c r="O38" s="24">
        <v>26150</v>
      </c>
      <c r="P38" s="24">
        <v>11330</v>
      </c>
      <c r="Q38" s="24">
        <v>0</v>
      </c>
      <c r="R38" s="24">
        <v>0</v>
      </c>
      <c r="S38" s="24">
        <v>0</v>
      </c>
      <c r="T38" s="24">
        <v>6000</v>
      </c>
      <c r="U38" s="24">
        <v>0</v>
      </c>
      <c r="V38" s="24">
        <v>0</v>
      </c>
      <c r="W38" s="24">
        <v>0</v>
      </c>
      <c r="X38" s="24">
        <v>0</v>
      </c>
      <c r="Y38" s="24">
        <v>250</v>
      </c>
      <c r="Z38" s="24">
        <f t="shared" si="15"/>
        <v>72480</v>
      </c>
      <c r="AA38" s="24">
        <v>35000</v>
      </c>
      <c r="AB38" s="20">
        <f t="shared" si="16"/>
        <v>37480</v>
      </c>
      <c r="AC38" s="24" t="str">
        <f t="shared" si="17"/>
        <v/>
      </c>
      <c r="AD38" s="24" t="str">
        <f t="shared" si="18"/>
        <v/>
      </c>
      <c r="AE38" s="24" t="str">
        <f t="shared" si="19"/>
        <v/>
      </c>
      <c r="AF38" s="25" t="s">
        <v>318</v>
      </c>
    </row>
    <row r="39" spans="1:32" x14ac:dyDescent="0.25">
      <c r="A39" s="22" t="s">
        <v>180</v>
      </c>
      <c r="B39" s="22" t="s">
        <v>194</v>
      </c>
      <c r="C39" s="22" t="s">
        <v>49</v>
      </c>
      <c r="D39" s="23">
        <v>0</v>
      </c>
      <c r="E39" s="24">
        <v>0</v>
      </c>
      <c r="F39" s="24">
        <v>26000</v>
      </c>
      <c r="G39" s="24">
        <v>4000</v>
      </c>
      <c r="H39" s="24">
        <v>1000</v>
      </c>
      <c r="I39" s="24">
        <v>0</v>
      </c>
      <c r="J39" s="24">
        <f t="shared" si="10"/>
        <v>0</v>
      </c>
      <c r="K39" s="24">
        <f t="shared" si="11"/>
        <v>26000</v>
      </c>
      <c r="L39" s="24">
        <f t="shared" si="12"/>
        <v>4000</v>
      </c>
      <c r="M39" s="24">
        <f t="shared" si="13"/>
        <v>1000</v>
      </c>
      <c r="N39" s="24">
        <f t="shared" si="14"/>
        <v>0</v>
      </c>
      <c r="O39" s="24">
        <v>6840</v>
      </c>
      <c r="P39" s="24">
        <v>5300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f t="shared" si="15"/>
        <v>43140</v>
      </c>
      <c r="AA39" s="24">
        <v>43140</v>
      </c>
      <c r="AB39" s="20">
        <f t="shared" si="16"/>
        <v>0</v>
      </c>
      <c r="AC39" s="24" t="str">
        <f t="shared" si="17"/>
        <v/>
      </c>
      <c r="AD39" s="24" t="str">
        <f t="shared" si="18"/>
        <v/>
      </c>
      <c r="AE39" s="24" t="str">
        <f t="shared" si="19"/>
        <v/>
      </c>
      <c r="AF39" s="25" t="s">
        <v>318</v>
      </c>
    </row>
    <row r="40" spans="1:32" x14ac:dyDescent="0.25">
      <c r="A40" s="22" t="s">
        <v>62</v>
      </c>
      <c r="B40" s="22" t="s">
        <v>53</v>
      </c>
      <c r="C40" s="22" t="s">
        <v>44</v>
      </c>
      <c r="D40" s="23">
        <v>0</v>
      </c>
      <c r="E40" s="24">
        <v>0</v>
      </c>
      <c r="F40" s="24">
        <v>26000</v>
      </c>
      <c r="G40" s="24">
        <v>4000</v>
      </c>
      <c r="H40" s="24">
        <v>0</v>
      </c>
      <c r="I40" s="24">
        <v>0</v>
      </c>
      <c r="J40" s="24">
        <f t="shared" si="10"/>
        <v>0</v>
      </c>
      <c r="K40" s="24">
        <f t="shared" si="11"/>
        <v>26000</v>
      </c>
      <c r="L40" s="24">
        <f t="shared" si="12"/>
        <v>4000</v>
      </c>
      <c r="M40" s="24">
        <f t="shared" si="13"/>
        <v>0</v>
      </c>
      <c r="N40" s="24">
        <f t="shared" si="14"/>
        <v>0</v>
      </c>
      <c r="O40" s="24">
        <v>13380</v>
      </c>
      <c r="P40" s="24">
        <v>7550</v>
      </c>
      <c r="Q40" s="24">
        <v>0</v>
      </c>
      <c r="R40" s="24">
        <v>0</v>
      </c>
      <c r="S40" s="24">
        <v>0</v>
      </c>
      <c r="T40" s="24">
        <v>6000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f t="shared" si="15"/>
        <v>56930</v>
      </c>
      <c r="AA40" s="24">
        <v>56930</v>
      </c>
      <c r="AB40" s="20">
        <f t="shared" si="16"/>
        <v>0</v>
      </c>
      <c r="AC40" s="24">
        <f t="shared" si="17"/>
        <v>6000</v>
      </c>
      <c r="AD40" s="24" t="str">
        <f t="shared" si="18"/>
        <v/>
      </c>
      <c r="AE40" s="24" t="str">
        <f t="shared" si="19"/>
        <v/>
      </c>
      <c r="AF40" s="25" t="s">
        <v>318</v>
      </c>
    </row>
    <row r="41" spans="1:32" x14ac:dyDescent="0.25">
      <c r="A41" s="22" t="s">
        <v>382</v>
      </c>
      <c r="B41" s="22" t="s">
        <v>383</v>
      </c>
      <c r="C41" s="22" t="s">
        <v>44</v>
      </c>
      <c r="D41" s="23">
        <v>0</v>
      </c>
      <c r="E41" s="24">
        <v>2000</v>
      </c>
      <c r="F41" s="24">
        <v>26000</v>
      </c>
      <c r="G41" s="24">
        <v>4000</v>
      </c>
      <c r="H41" s="24">
        <v>1000</v>
      </c>
      <c r="I41" s="24">
        <v>0</v>
      </c>
      <c r="J41" s="24">
        <f t="shared" si="10"/>
        <v>2000</v>
      </c>
      <c r="K41" s="24">
        <f t="shared" si="11"/>
        <v>26000</v>
      </c>
      <c r="L41" s="24">
        <f t="shared" si="12"/>
        <v>4000</v>
      </c>
      <c r="M41" s="24">
        <f t="shared" si="13"/>
        <v>1000</v>
      </c>
      <c r="N41" s="24">
        <f t="shared" si="14"/>
        <v>0</v>
      </c>
      <c r="O41" s="24">
        <v>13380</v>
      </c>
      <c r="P41" s="24">
        <v>7550</v>
      </c>
      <c r="Q41" s="24">
        <v>16000</v>
      </c>
      <c r="R41" s="24">
        <v>8000</v>
      </c>
      <c r="S41" s="24">
        <v>7000</v>
      </c>
      <c r="T41" s="24">
        <v>6000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f t="shared" si="15"/>
        <v>90930</v>
      </c>
      <c r="AA41" s="24">
        <v>50000</v>
      </c>
      <c r="AB41" s="20">
        <f t="shared" si="16"/>
        <v>40930</v>
      </c>
      <c r="AC41" s="24" t="str">
        <f t="shared" si="17"/>
        <v/>
      </c>
      <c r="AD41" s="24" t="str">
        <f t="shared" si="18"/>
        <v/>
      </c>
      <c r="AE41" s="24" t="str">
        <f t="shared" si="19"/>
        <v/>
      </c>
      <c r="AF41" s="24"/>
    </row>
    <row r="42" spans="1:32" x14ac:dyDescent="0.25">
      <c r="A42" s="22" t="s">
        <v>234</v>
      </c>
      <c r="B42" s="22" t="s">
        <v>50</v>
      </c>
      <c r="C42" s="22" t="s">
        <v>245</v>
      </c>
      <c r="D42" s="23">
        <v>0</v>
      </c>
      <c r="E42" s="24">
        <v>0</v>
      </c>
      <c r="F42" s="24">
        <v>26000</v>
      </c>
      <c r="G42" s="24">
        <v>2000</v>
      </c>
      <c r="H42" s="24">
        <v>0</v>
      </c>
      <c r="I42" s="24">
        <v>0</v>
      </c>
      <c r="J42" s="24">
        <f t="shared" si="10"/>
        <v>0</v>
      </c>
      <c r="K42" s="24">
        <f t="shared" si="11"/>
        <v>26000</v>
      </c>
      <c r="L42" s="24">
        <f t="shared" si="12"/>
        <v>2000</v>
      </c>
      <c r="M42" s="24">
        <f t="shared" si="13"/>
        <v>0</v>
      </c>
      <c r="N42" s="24">
        <f t="shared" si="14"/>
        <v>0</v>
      </c>
      <c r="O42" s="24">
        <v>0</v>
      </c>
      <c r="P42" s="24">
        <v>3050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f t="shared" si="15"/>
        <v>31050</v>
      </c>
      <c r="AA42" s="24">
        <v>20000</v>
      </c>
      <c r="AB42" s="20">
        <f t="shared" si="16"/>
        <v>11050</v>
      </c>
      <c r="AC42" s="24" t="str">
        <f t="shared" si="17"/>
        <v/>
      </c>
      <c r="AD42" s="24" t="str">
        <f t="shared" si="18"/>
        <v/>
      </c>
      <c r="AE42" s="24" t="str">
        <f t="shared" si="19"/>
        <v/>
      </c>
      <c r="AF42" s="25" t="s">
        <v>318</v>
      </c>
    </row>
    <row r="43" spans="1:32" x14ac:dyDescent="0.25">
      <c r="A43" s="22" t="s">
        <v>166</v>
      </c>
      <c r="B43" s="22" t="s">
        <v>167</v>
      </c>
      <c r="C43" s="22" t="s">
        <v>49</v>
      </c>
      <c r="D43" s="23">
        <v>0</v>
      </c>
      <c r="E43" s="24">
        <v>0</v>
      </c>
      <c r="F43" s="24">
        <v>26000</v>
      </c>
      <c r="G43" s="24">
        <v>4000</v>
      </c>
      <c r="H43" s="24">
        <v>1000</v>
      </c>
      <c r="I43" s="24">
        <v>0</v>
      </c>
      <c r="J43" s="24">
        <f t="shared" si="10"/>
        <v>0</v>
      </c>
      <c r="K43" s="24">
        <f t="shared" si="11"/>
        <v>26000</v>
      </c>
      <c r="L43" s="24">
        <f t="shared" si="12"/>
        <v>4000</v>
      </c>
      <c r="M43" s="24">
        <f t="shared" si="13"/>
        <v>1000</v>
      </c>
      <c r="N43" s="24">
        <f t="shared" si="14"/>
        <v>0</v>
      </c>
      <c r="O43" s="24">
        <v>6840</v>
      </c>
      <c r="P43" s="24">
        <v>5300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f t="shared" si="15"/>
        <v>43140</v>
      </c>
      <c r="AA43" s="24">
        <v>30000</v>
      </c>
      <c r="AB43" s="20">
        <f t="shared" si="16"/>
        <v>13140</v>
      </c>
      <c r="AC43" s="24" t="str">
        <f t="shared" si="17"/>
        <v/>
      </c>
      <c r="AD43" s="24" t="str">
        <f t="shared" si="18"/>
        <v/>
      </c>
      <c r="AE43" s="24" t="str">
        <f t="shared" si="19"/>
        <v/>
      </c>
      <c r="AF43" s="25" t="s">
        <v>318</v>
      </c>
    </row>
    <row r="44" spans="1:32" x14ac:dyDescent="0.25">
      <c r="A44" s="22" t="s">
        <v>64</v>
      </c>
      <c r="B44" s="22" t="s">
        <v>65</v>
      </c>
      <c r="C44" s="22" t="s">
        <v>66</v>
      </c>
      <c r="D44" s="23">
        <v>0.5</v>
      </c>
      <c r="E44" s="24">
        <v>0</v>
      </c>
      <c r="F44" s="24">
        <v>33000</v>
      </c>
      <c r="G44" s="24">
        <v>5000</v>
      </c>
      <c r="H44" s="24">
        <v>2000</v>
      </c>
      <c r="I44" s="24">
        <v>6000</v>
      </c>
      <c r="J44" s="24">
        <f t="shared" si="10"/>
        <v>0</v>
      </c>
      <c r="K44" s="24">
        <f t="shared" si="11"/>
        <v>16500</v>
      </c>
      <c r="L44" s="24">
        <f t="shared" si="12"/>
        <v>5000</v>
      </c>
      <c r="M44" s="24">
        <f t="shared" si="13"/>
        <v>1000</v>
      </c>
      <c r="N44" s="24">
        <f t="shared" si="14"/>
        <v>3000</v>
      </c>
      <c r="O44" s="24">
        <f>22400-11160</f>
        <v>11240</v>
      </c>
      <c r="P44" s="24">
        <f>14330-5700</f>
        <v>8630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-30</v>
      </c>
      <c r="Z44" s="24">
        <f t="shared" si="15"/>
        <v>45340</v>
      </c>
      <c r="AA44" s="24">
        <v>25000</v>
      </c>
      <c r="AB44" s="20">
        <f t="shared" si="16"/>
        <v>20340</v>
      </c>
      <c r="AC44" s="24" t="str">
        <f t="shared" si="17"/>
        <v/>
      </c>
      <c r="AD44" s="24" t="str">
        <f t="shared" si="18"/>
        <v/>
      </c>
      <c r="AE44" s="24" t="str">
        <f t="shared" si="19"/>
        <v/>
      </c>
      <c r="AF44" s="25" t="s">
        <v>318</v>
      </c>
    </row>
    <row r="45" spans="1:32" x14ac:dyDescent="0.25">
      <c r="A45" s="22" t="s">
        <v>67</v>
      </c>
      <c r="B45" s="22" t="s">
        <v>68</v>
      </c>
      <c r="C45" s="22" t="s">
        <v>66</v>
      </c>
      <c r="D45" s="23">
        <v>0</v>
      </c>
      <c r="E45" s="24">
        <v>0</v>
      </c>
      <c r="F45" s="24">
        <v>33000</v>
      </c>
      <c r="G45" s="24">
        <v>5000</v>
      </c>
      <c r="H45" s="24">
        <v>2000</v>
      </c>
      <c r="I45" s="24">
        <v>6000</v>
      </c>
      <c r="J45" s="24">
        <f t="shared" si="10"/>
        <v>0</v>
      </c>
      <c r="K45" s="24">
        <f t="shared" si="11"/>
        <v>33000</v>
      </c>
      <c r="L45" s="24">
        <f t="shared" si="12"/>
        <v>5000</v>
      </c>
      <c r="M45" s="24">
        <f t="shared" si="13"/>
        <v>2000</v>
      </c>
      <c r="N45" s="24">
        <f t="shared" si="14"/>
        <v>6000</v>
      </c>
      <c r="O45" s="24">
        <v>22400</v>
      </c>
      <c r="P45" s="24">
        <v>14330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-8970</v>
      </c>
      <c r="Z45" s="24">
        <f t="shared" si="15"/>
        <v>73760</v>
      </c>
      <c r="AA45" s="24">
        <v>30000</v>
      </c>
      <c r="AB45" s="20">
        <f t="shared" si="16"/>
        <v>43760</v>
      </c>
      <c r="AC45" s="24" t="str">
        <f t="shared" si="17"/>
        <v/>
      </c>
      <c r="AD45" s="24" t="str">
        <f t="shared" si="18"/>
        <v/>
      </c>
      <c r="AE45" s="24" t="str">
        <f t="shared" si="19"/>
        <v/>
      </c>
      <c r="AF45" s="25" t="s">
        <v>318</v>
      </c>
    </row>
    <row r="46" spans="1:32" x14ac:dyDescent="0.25">
      <c r="A46" s="22" t="s">
        <v>70</v>
      </c>
      <c r="B46" s="22" t="s">
        <v>71</v>
      </c>
      <c r="C46" s="22" t="s">
        <v>69</v>
      </c>
      <c r="D46" s="23">
        <v>0</v>
      </c>
      <c r="E46" s="24">
        <v>0</v>
      </c>
      <c r="F46" s="24">
        <v>40000</v>
      </c>
      <c r="G46" s="24">
        <v>5000</v>
      </c>
      <c r="H46" s="24">
        <v>2000</v>
      </c>
      <c r="I46" s="24">
        <v>8000</v>
      </c>
      <c r="J46" s="24">
        <f t="shared" si="10"/>
        <v>0</v>
      </c>
      <c r="K46" s="24">
        <f t="shared" si="11"/>
        <v>40000</v>
      </c>
      <c r="L46" s="24">
        <f t="shared" si="12"/>
        <v>5000</v>
      </c>
      <c r="M46" s="24">
        <f t="shared" si="13"/>
        <v>2000</v>
      </c>
      <c r="N46" s="24">
        <f t="shared" si="14"/>
        <v>8000</v>
      </c>
      <c r="O46" s="24">
        <v>11880</v>
      </c>
      <c r="P46" s="24">
        <f>14330-5700</f>
        <v>8630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120</v>
      </c>
      <c r="Z46" s="24">
        <f t="shared" si="15"/>
        <v>75630</v>
      </c>
      <c r="AA46" s="24">
        <v>50000</v>
      </c>
      <c r="AB46" s="20">
        <f t="shared" si="16"/>
        <v>25630</v>
      </c>
      <c r="AC46" s="24" t="str">
        <f t="shared" si="17"/>
        <v/>
      </c>
      <c r="AD46" s="24" t="str">
        <f t="shared" si="18"/>
        <v/>
      </c>
      <c r="AE46" s="24" t="str">
        <f t="shared" si="19"/>
        <v/>
      </c>
      <c r="AF46" s="25" t="s">
        <v>318</v>
      </c>
    </row>
    <row r="47" spans="1:32" x14ac:dyDescent="0.25">
      <c r="A47" s="22" t="s">
        <v>184</v>
      </c>
      <c r="B47" s="22" t="s">
        <v>192</v>
      </c>
      <c r="C47" s="22" t="s">
        <v>66</v>
      </c>
      <c r="D47" s="23">
        <v>0.25</v>
      </c>
      <c r="E47" s="24">
        <v>0</v>
      </c>
      <c r="F47" s="24">
        <v>33000</v>
      </c>
      <c r="G47" s="24">
        <v>5000</v>
      </c>
      <c r="H47" s="24">
        <v>2000</v>
      </c>
      <c r="I47" s="24">
        <v>6000</v>
      </c>
      <c r="J47" s="24">
        <f t="shared" si="10"/>
        <v>0</v>
      </c>
      <c r="K47" s="24">
        <f t="shared" si="11"/>
        <v>24750</v>
      </c>
      <c r="L47" s="24">
        <f t="shared" si="12"/>
        <v>5000</v>
      </c>
      <c r="M47" s="24">
        <f t="shared" si="13"/>
        <v>1500</v>
      </c>
      <c r="N47" s="24">
        <f t="shared" si="14"/>
        <v>4500</v>
      </c>
      <c r="O47" s="24">
        <v>22400</v>
      </c>
      <c r="P47" s="24">
        <f>14330-11400</f>
        <v>2930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f t="shared" si="15"/>
        <v>61080</v>
      </c>
      <c r="AA47" s="24">
        <v>0</v>
      </c>
      <c r="AB47" s="20">
        <f t="shared" si="16"/>
        <v>61080</v>
      </c>
      <c r="AC47" s="24" t="str">
        <f t="shared" si="17"/>
        <v/>
      </c>
      <c r="AD47" s="24" t="str">
        <f t="shared" si="18"/>
        <v/>
      </c>
      <c r="AE47" s="24" t="str">
        <f t="shared" si="19"/>
        <v/>
      </c>
      <c r="AF47" s="25" t="s">
        <v>318</v>
      </c>
    </row>
    <row r="48" spans="1:32" x14ac:dyDescent="0.25">
      <c r="A48" s="22" t="s">
        <v>184</v>
      </c>
      <c r="B48" s="22" t="s">
        <v>185</v>
      </c>
      <c r="C48" s="22" t="s">
        <v>69</v>
      </c>
      <c r="D48" s="23">
        <v>0.25</v>
      </c>
      <c r="E48" s="24">
        <v>0</v>
      </c>
      <c r="F48" s="24">
        <v>40000</v>
      </c>
      <c r="G48" s="24">
        <v>5000</v>
      </c>
      <c r="H48" s="24">
        <v>2000</v>
      </c>
      <c r="I48" s="24">
        <v>8000</v>
      </c>
      <c r="J48" s="24">
        <f t="shared" si="10"/>
        <v>0</v>
      </c>
      <c r="K48" s="24">
        <f t="shared" si="11"/>
        <v>30000</v>
      </c>
      <c r="L48" s="24">
        <f t="shared" si="12"/>
        <v>5000</v>
      </c>
      <c r="M48" s="24">
        <f t="shared" si="13"/>
        <v>1500</v>
      </c>
      <c r="N48" s="24">
        <f t="shared" si="14"/>
        <v>6000</v>
      </c>
      <c r="O48" s="24">
        <v>11880</v>
      </c>
      <c r="P48" s="24">
        <f>14330-11400</f>
        <v>2930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f t="shared" si="15"/>
        <v>57310</v>
      </c>
      <c r="AA48" s="24">
        <v>0</v>
      </c>
      <c r="AB48" s="20">
        <f t="shared" si="16"/>
        <v>57310</v>
      </c>
      <c r="AC48" s="24" t="str">
        <f t="shared" si="17"/>
        <v/>
      </c>
      <c r="AD48" s="24" t="str">
        <f t="shared" si="18"/>
        <v/>
      </c>
      <c r="AE48" s="24" t="str">
        <f t="shared" si="19"/>
        <v/>
      </c>
      <c r="AF48" s="25" t="s">
        <v>318</v>
      </c>
    </row>
    <row r="49" spans="1:32" x14ac:dyDescent="0.25">
      <c r="A49" s="22" t="s">
        <v>236</v>
      </c>
      <c r="B49" s="22" t="s">
        <v>237</v>
      </c>
      <c r="C49" s="22" t="s">
        <v>49</v>
      </c>
      <c r="D49" s="23">
        <v>0</v>
      </c>
      <c r="E49" s="24">
        <v>0</v>
      </c>
      <c r="F49" s="24">
        <v>26000</v>
      </c>
      <c r="G49" s="24">
        <v>4000</v>
      </c>
      <c r="H49" s="24">
        <v>1000</v>
      </c>
      <c r="I49" s="24">
        <v>0</v>
      </c>
      <c r="J49" s="24">
        <f t="shared" si="10"/>
        <v>0</v>
      </c>
      <c r="K49" s="24">
        <f t="shared" si="11"/>
        <v>26000</v>
      </c>
      <c r="L49" s="24">
        <f t="shared" si="12"/>
        <v>4000</v>
      </c>
      <c r="M49" s="24">
        <f t="shared" si="13"/>
        <v>1000</v>
      </c>
      <c r="N49" s="24">
        <f t="shared" si="14"/>
        <v>0</v>
      </c>
      <c r="O49" s="24">
        <v>6840</v>
      </c>
      <c r="P49" s="24">
        <v>5300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f t="shared" si="15"/>
        <v>43140</v>
      </c>
      <c r="AA49" s="24">
        <v>30000</v>
      </c>
      <c r="AB49" s="20">
        <f t="shared" si="16"/>
        <v>13140</v>
      </c>
      <c r="AC49" s="24" t="str">
        <f t="shared" si="17"/>
        <v/>
      </c>
      <c r="AD49" s="24" t="str">
        <f t="shared" si="18"/>
        <v/>
      </c>
      <c r="AE49" s="24" t="str">
        <f t="shared" si="19"/>
        <v/>
      </c>
      <c r="AF49" s="25" t="s">
        <v>318</v>
      </c>
    </row>
    <row r="50" spans="1:32" x14ac:dyDescent="0.25">
      <c r="A50" s="22" t="s">
        <v>63</v>
      </c>
      <c r="B50" s="22" t="s">
        <v>73</v>
      </c>
      <c r="C50" s="22" t="s">
        <v>47</v>
      </c>
      <c r="D50" s="23">
        <v>0.25</v>
      </c>
      <c r="E50" s="24">
        <v>0</v>
      </c>
      <c r="F50" s="24">
        <v>26000</v>
      </c>
      <c r="G50" s="24">
        <v>4000</v>
      </c>
      <c r="H50" s="24">
        <v>0</v>
      </c>
      <c r="I50" s="24">
        <v>0</v>
      </c>
      <c r="J50" s="24">
        <f t="shared" si="10"/>
        <v>0</v>
      </c>
      <c r="K50" s="24">
        <f t="shared" si="11"/>
        <v>19500</v>
      </c>
      <c r="L50" s="24">
        <f t="shared" si="12"/>
        <v>4000</v>
      </c>
      <c r="M50" s="24">
        <f t="shared" si="13"/>
        <v>0</v>
      </c>
      <c r="N50" s="24">
        <f t="shared" si="14"/>
        <v>0</v>
      </c>
      <c r="O50" s="24">
        <v>24930</v>
      </c>
      <c r="P50" s="24">
        <v>10730</v>
      </c>
      <c r="Q50" s="24">
        <v>0</v>
      </c>
      <c r="R50" s="24">
        <v>0</v>
      </c>
      <c r="S50" s="24">
        <v>0</v>
      </c>
      <c r="T50" s="24">
        <v>6000</v>
      </c>
      <c r="U50" s="24">
        <v>0</v>
      </c>
      <c r="V50" s="24">
        <v>0</v>
      </c>
      <c r="W50" s="24">
        <v>0</v>
      </c>
      <c r="X50" s="24">
        <v>0</v>
      </c>
      <c r="Y50" s="24">
        <v>18500</v>
      </c>
      <c r="Z50" s="24">
        <f t="shared" si="15"/>
        <v>83660</v>
      </c>
      <c r="AA50" s="24">
        <v>83180</v>
      </c>
      <c r="AB50" s="20">
        <f t="shared" si="16"/>
        <v>480</v>
      </c>
      <c r="AC50" s="24" t="str">
        <f t="shared" si="17"/>
        <v/>
      </c>
      <c r="AD50" s="24" t="str">
        <f t="shared" si="18"/>
        <v/>
      </c>
      <c r="AE50" s="24" t="str">
        <f t="shared" si="19"/>
        <v/>
      </c>
      <c r="AF50" s="25" t="s">
        <v>318</v>
      </c>
    </row>
    <row r="51" spans="1:32" x14ac:dyDescent="0.25">
      <c r="A51" s="22" t="s">
        <v>63</v>
      </c>
      <c r="B51" s="22" t="s">
        <v>74</v>
      </c>
      <c r="C51" s="22" t="s">
        <v>241</v>
      </c>
      <c r="D51" s="23">
        <v>0.05</v>
      </c>
      <c r="E51" s="24">
        <v>0</v>
      </c>
      <c r="F51" s="24">
        <v>28000</v>
      </c>
      <c r="G51" s="24">
        <v>4000</v>
      </c>
      <c r="H51" s="24">
        <v>0</v>
      </c>
      <c r="I51" s="24">
        <v>5000</v>
      </c>
      <c r="J51" s="24">
        <f t="shared" si="10"/>
        <v>0</v>
      </c>
      <c r="K51" s="24">
        <f t="shared" si="11"/>
        <v>26600</v>
      </c>
      <c r="L51" s="24">
        <f t="shared" si="12"/>
        <v>4000</v>
      </c>
      <c r="M51" s="24">
        <f t="shared" si="13"/>
        <v>0</v>
      </c>
      <c r="N51" s="24">
        <f t="shared" si="14"/>
        <v>4750</v>
      </c>
      <c r="O51" s="24">
        <v>28790</v>
      </c>
      <c r="P51" s="24">
        <v>13230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f t="shared" si="15"/>
        <v>77370</v>
      </c>
      <c r="AA51" s="24">
        <v>79020</v>
      </c>
      <c r="AB51" s="20">
        <f t="shared" si="16"/>
        <v>-1650</v>
      </c>
      <c r="AC51" s="24" t="str">
        <f t="shared" si="17"/>
        <v/>
      </c>
      <c r="AD51" s="24" t="str">
        <f t="shared" si="18"/>
        <v/>
      </c>
      <c r="AE51" s="24" t="str">
        <f t="shared" si="19"/>
        <v/>
      </c>
      <c r="AF51" s="25" t="s">
        <v>319</v>
      </c>
    </row>
    <row r="52" spans="1:32" x14ac:dyDescent="0.25">
      <c r="A52" s="22" t="s">
        <v>75</v>
      </c>
      <c r="B52" s="22" t="s">
        <v>76</v>
      </c>
      <c r="C52" s="22" t="s">
        <v>33</v>
      </c>
      <c r="D52" s="23">
        <v>0</v>
      </c>
      <c r="E52" s="24">
        <v>0</v>
      </c>
      <c r="F52" s="24">
        <v>28000</v>
      </c>
      <c r="G52" s="24">
        <v>4000</v>
      </c>
      <c r="H52" s="24">
        <v>2500</v>
      </c>
      <c r="I52" s="24">
        <v>5000</v>
      </c>
      <c r="J52" s="24">
        <f t="shared" si="10"/>
        <v>0</v>
      </c>
      <c r="K52" s="24">
        <f t="shared" si="11"/>
        <v>28000</v>
      </c>
      <c r="L52" s="24">
        <f t="shared" si="12"/>
        <v>4000</v>
      </c>
      <c r="M52" s="24">
        <f t="shared" si="13"/>
        <v>2500</v>
      </c>
      <c r="N52" s="24">
        <f t="shared" si="14"/>
        <v>5000</v>
      </c>
      <c r="O52" s="24">
        <v>25970</v>
      </c>
      <c r="P52" s="24">
        <v>11330</v>
      </c>
      <c r="Q52" s="24">
        <v>0</v>
      </c>
      <c r="R52" s="24">
        <v>0</v>
      </c>
      <c r="S52" s="24">
        <v>0</v>
      </c>
      <c r="T52" s="24">
        <v>6000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f t="shared" si="15"/>
        <v>82800</v>
      </c>
      <c r="AA52" s="24">
        <v>82800</v>
      </c>
      <c r="AB52" s="20">
        <f t="shared" si="16"/>
        <v>0</v>
      </c>
      <c r="AC52" s="24">
        <f t="shared" si="17"/>
        <v>6000</v>
      </c>
      <c r="AD52" s="24" t="str">
        <f t="shared" si="18"/>
        <v/>
      </c>
      <c r="AE52" s="24" t="str">
        <f t="shared" si="19"/>
        <v/>
      </c>
      <c r="AF52" s="25" t="s">
        <v>318</v>
      </c>
    </row>
    <row r="53" spans="1:32" x14ac:dyDescent="0.25">
      <c r="A53" s="22" t="s">
        <v>348</v>
      </c>
      <c r="B53" s="22" t="s">
        <v>350</v>
      </c>
      <c r="C53" s="22" t="s">
        <v>44</v>
      </c>
      <c r="D53" s="23">
        <v>0.25</v>
      </c>
      <c r="E53" s="24">
        <v>2000</v>
      </c>
      <c r="F53" s="24">
        <v>26000</v>
      </c>
      <c r="G53" s="24">
        <v>4000</v>
      </c>
      <c r="H53" s="24">
        <v>1000</v>
      </c>
      <c r="I53" s="24">
        <v>0</v>
      </c>
      <c r="J53" s="24">
        <f t="shared" si="10"/>
        <v>1500</v>
      </c>
      <c r="K53" s="24">
        <f t="shared" si="11"/>
        <v>19500</v>
      </c>
      <c r="L53" s="24">
        <f t="shared" si="12"/>
        <v>4000</v>
      </c>
      <c r="M53" s="24">
        <f t="shared" si="13"/>
        <v>750</v>
      </c>
      <c r="N53" s="24">
        <f t="shared" si="14"/>
        <v>0</v>
      </c>
      <c r="O53" s="24">
        <v>13380</v>
      </c>
      <c r="P53" s="24">
        <v>7550</v>
      </c>
      <c r="Q53" s="24">
        <v>16000</v>
      </c>
      <c r="R53" s="24">
        <v>8000</v>
      </c>
      <c r="S53" s="24">
        <v>7000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f t="shared" si="15"/>
        <v>77680</v>
      </c>
      <c r="AA53" s="24">
        <v>50000</v>
      </c>
      <c r="AB53" s="20">
        <f t="shared" si="16"/>
        <v>27680</v>
      </c>
      <c r="AC53" s="24" t="str">
        <f t="shared" si="17"/>
        <v/>
      </c>
      <c r="AD53" s="24" t="str">
        <f t="shared" si="18"/>
        <v/>
      </c>
      <c r="AE53" s="24" t="str">
        <f t="shared" si="19"/>
        <v/>
      </c>
      <c r="AF53" s="24"/>
    </row>
    <row r="54" spans="1:32" x14ac:dyDescent="0.25">
      <c r="A54" s="22" t="s">
        <v>348</v>
      </c>
      <c r="B54" s="22" t="s">
        <v>349</v>
      </c>
      <c r="C54" s="22" t="s">
        <v>49</v>
      </c>
      <c r="D54" s="23">
        <v>0.25</v>
      </c>
      <c r="E54" s="24">
        <v>2000</v>
      </c>
      <c r="F54" s="24">
        <v>26000</v>
      </c>
      <c r="G54" s="24">
        <v>4000</v>
      </c>
      <c r="H54" s="24">
        <v>1000</v>
      </c>
      <c r="I54" s="24">
        <v>0</v>
      </c>
      <c r="J54" s="24">
        <f t="shared" si="10"/>
        <v>1500</v>
      </c>
      <c r="K54" s="24">
        <f t="shared" si="11"/>
        <v>19500</v>
      </c>
      <c r="L54" s="24">
        <f t="shared" si="12"/>
        <v>4000</v>
      </c>
      <c r="M54" s="24">
        <f t="shared" si="13"/>
        <v>750</v>
      </c>
      <c r="N54" s="24">
        <f t="shared" si="14"/>
        <v>0</v>
      </c>
      <c r="O54" s="24">
        <v>6840</v>
      </c>
      <c r="P54" s="24">
        <v>5300</v>
      </c>
      <c r="Q54" s="24">
        <v>16000</v>
      </c>
      <c r="R54" s="24">
        <v>8000</v>
      </c>
      <c r="S54" s="24">
        <v>7000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f t="shared" si="15"/>
        <v>68890</v>
      </c>
      <c r="AA54" s="24">
        <v>50000</v>
      </c>
      <c r="AB54" s="20">
        <f t="shared" si="16"/>
        <v>18890</v>
      </c>
      <c r="AC54" s="24"/>
      <c r="AD54" s="24"/>
      <c r="AE54" s="24"/>
      <c r="AF54" s="24"/>
    </row>
    <row r="55" spans="1:32" x14ac:dyDescent="0.25">
      <c r="A55" s="22" t="s">
        <v>217</v>
      </c>
      <c r="B55" s="22" t="s">
        <v>219</v>
      </c>
      <c r="C55" s="22" t="s">
        <v>48</v>
      </c>
      <c r="D55" s="23">
        <v>0.25</v>
      </c>
      <c r="E55" s="24">
        <v>0</v>
      </c>
      <c r="F55" s="24">
        <v>28000</v>
      </c>
      <c r="G55" s="24">
        <v>4000</v>
      </c>
      <c r="H55" s="24">
        <v>0</v>
      </c>
      <c r="I55" s="24">
        <v>5000</v>
      </c>
      <c r="J55" s="24">
        <f t="shared" si="10"/>
        <v>0</v>
      </c>
      <c r="K55" s="24">
        <f t="shared" si="11"/>
        <v>21000</v>
      </c>
      <c r="L55" s="24">
        <f t="shared" si="12"/>
        <v>4000</v>
      </c>
      <c r="M55" s="24">
        <f t="shared" si="13"/>
        <v>0</v>
      </c>
      <c r="N55" s="24">
        <f t="shared" si="14"/>
        <v>3750</v>
      </c>
      <c r="O55" s="24">
        <v>26150</v>
      </c>
      <c r="P55" s="24">
        <v>11330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22105</v>
      </c>
      <c r="Z55" s="24">
        <f t="shared" si="15"/>
        <v>88335</v>
      </c>
      <c r="AA55" s="24">
        <v>64000</v>
      </c>
      <c r="AB55" s="20">
        <f t="shared" si="16"/>
        <v>24335</v>
      </c>
      <c r="AC55" s="24" t="str">
        <f t="shared" ref="AC55:AC95" si="20">IF(AND($T55=6000, ($T55+$W55-$AB55)&gt;=6000),T55,"")</f>
        <v/>
      </c>
      <c r="AD55" s="24" t="str">
        <f t="shared" ref="AD55:AD95" si="21">IF(AND($T55=8000, ($T55+$W55-$AB55)&gt;=8000),T55,"")</f>
        <v/>
      </c>
      <c r="AE55" s="24" t="str">
        <f t="shared" ref="AE55:AE95" si="22">IF(($T55+$W55-$AB55)&gt;=$T55+8000,W55,"")</f>
        <v/>
      </c>
      <c r="AF55" s="25" t="s">
        <v>318</v>
      </c>
    </row>
    <row r="56" spans="1:32" x14ac:dyDescent="0.25">
      <c r="A56" s="22" t="s">
        <v>217</v>
      </c>
      <c r="B56" s="22" t="s">
        <v>218</v>
      </c>
      <c r="C56" s="22" t="s">
        <v>241</v>
      </c>
      <c r="D56" s="23">
        <v>0.25</v>
      </c>
      <c r="E56" s="24">
        <v>0</v>
      </c>
      <c r="F56" s="24">
        <v>28000</v>
      </c>
      <c r="G56" s="24">
        <v>4000</v>
      </c>
      <c r="H56" s="24">
        <v>0</v>
      </c>
      <c r="I56" s="24">
        <v>5000</v>
      </c>
      <c r="J56" s="24">
        <f t="shared" si="10"/>
        <v>0</v>
      </c>
      <c r="K56" s="24">
        <f t="shared" si="11"/>
        <v>21000</v>
      </c>
      <c r="L56" s="24">
        <f t="shared" si="12"/>
        <v>4000</v>
      </c>
      <c r="M56" s="24">
        <f t="shared" si="13"/>
        <v>0</v>
      </c>
      <c r="N56" s="24">
        <f t="shared" si="14"/>
        <v>3750</v>
      </c>
      <c r="O56" s="24">
        <v>28790</v>
      </c>
      <c r="P56" s="24">
        <v>13230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24395</v>
      </c>
      <c r="Z56" s="24">
        <f t="shared" si="15"/>
        <v>95165</v>
      </c>
      <c r="AA56" s="24">
        <v>64000</v>
      </c>
      <c r="AB56" s="20">
        <f t="shared" si="16"/>
        <v>31165</v>
      </c>
      <c r="AC56" s="24" t="str">
        <f t="shared" si="20"/>
        <v/>
      </c>
      <c r="AD56" s="24" t="str">
        <f t="shared" si="21"/>
        <v/>
      </c>
      <c r="AE56" s="24" t="str">
        <f t="shared" si="22"/>
        <v/>
      </c>
      <c r="AF56" s="25" t="s">
        <v>318</v>
      </c>
    </row>
    <row r="57" spans="1:32" x14ac:dyDescent="0.25">
      <c r="A57" s="22" t="s">
        <v>146</v>
      </c>
      <c r="B57" s="22" t="s">
        <v>147</v>
      </c>
      <c r="C57" s="22" t="s">
        <v>30</v>
      </c>
      <c r="D57" s="23">
        <v>0</v>
      </c>
      <c r="E57" s="24">
        <v>0</v>
      </c>
      <c r="F57" s="24">
        <v>26000</v>
      </c>
      <c r="G57" s="24">
        <v>4000</v>
      </c>
      <c r="H57" s="24">
        <v>1000</v>
      </c>
      <c r="I57" s="24">
        <v>0</v>
      </c>
      <c r="J57" s="24">
        <f t="shared" si="10"/>
        <v>0</v>
      </c>
      <c r="K57" s="24">
        <f t="shared" si="11"/>
        <v>26000</v>
      </c>
      <c r="L57" s="24">
        <f t="shared" si="12"/>
        <v>4000</v>
      </c>
      <c r="M57" s="24">
        <f t="shared" si="13"/>
        <v>1000</v>
      </c>
      <c r="N57" s="24">
        <f t="shared" si="14"/>
        <v>0</v>
      </c>
      <c r="O57" s="24">
        <v>12480</v>
      </c>
      <c r="P57" s="24">
        <v>7550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f t="shared" si="15"/>
        <v>51030</v>
      </c>
      <c r="AA57" s="24">
        <v>0</v>
      </c>
      <c r="AB57" s="20">
        <f t="shared" si="16"/>
        <v>51030</v>
      </c>
      <c r="AC57" s="24" t="str">
        <f t="shared" si="20"/>
        <v/>
      </c>
      <c r="AD57" s="24" t="str">
        <f t="shared" si="21"/>
        <v/>
      </c>
      <c r="AE57" s="24" t="str">
        <f t="shared" si="22"/>
        <v/>
      </c>
      <c r="AF57" s="25" t="s">
        <v>318</v>
      </c>
    </row>
    <row r="58" spans="1:32" x14ac:dyDescent="0.25">
      <c r="A58" s="22" t="s">
        <v>168</v>
      </c>
      <c r="B58" s="22" t="s">
        <v>169</v>
      </c>
      <c r="C58" s="22" t="s">
        <v>49</v>
      </c>
      <c r="D58" s="23">
        <v>0</v>
      </c>
      <c r="E58" s="24">
        <v>0</v>
      </c>
      <c r="F58" s="24">
        <v>26000</v>
      </c>
      <c r="G58" s="24">
        <v>4000</v>
      </c>
      <c r="H58" s="24">
        <v>1000</v>
      </c>
      <c r="I58" s="24">
        <v>0</v>
      </c>
      <c r="J58" s="24">
        <f t="shared" si="10"/>
        <v>0</v>
      </c>
      <c r="K58" s="24">
        <f t="shared" si="11"/>
        <v>26000</v>
      </c>
      <c r="L58" s="24">
        <f t="shared" si="12"/>
        <v>4000</v>
      </c>
      <c r="M58" s="24">
        <f t="shared" si="13"/>
        <v>1000</v>
      </c>
      <c r="N58" s="24">
        <f t="shared" si="14"/>
        <v>0</v>
      </c>
      <c r="O58" s="24">
        <v>6840</v>
      </c>
      <c r="P58" s="24">
        <v>5300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2000</v>
      </c>
      <c r="Z58" s="24">
        <f t="shared" si="15"/>
        <v>45140</v>
      </c>
      <c r="AA58" s="24">
        <v>50440</v>
      </c>
      <c r="AB58" s="20">
        <f t="shared" si="16"/>
        <v>-5300</v>
      </c>
      <c r="AC58" s="24" t="str">
        <f t="shared" si="20"/>
        <v/>
      </c>
      <c r="AD58" s="24" t="str">
        <f t="shared" si="21"/>
        <v/>
      </c>
      <c r="AE58" s="24" t="str">
        <f t="shared" si="22"/>
        <v/>
      </c>
      <c r="AF58" s="25" t="s">
        <v>318</v>
      </c>
    </row>
    <row r="59" spans="1:32" x14ac:dyDescent="0.25">
      <c r="A59" s="22" t="s">
        <v>273</v>
      </c>
      <c r="B59" s="22" t="s">
        <v>353</v>
      </c>
      <c r="C59" s="22" t="s">
        <v>66</v>
      </c>
      <c r="D59" s="23">
        <v>0.25</v>
      </c>
      <c r="E59" s="24">
        <v>3000</v>
      </c>
      <c r="F59" s="24">
        <v>33000</v>
      </c>
      <c r="G59" s="24">
        <v>5000</v>
      </c>
      <c r="H59" s="24">
        <v>2000</v>
      </c>
      <c r="I59" s="24">
        <v>6000</v>
      </c>
      <c r="J59" s="24">
        <f t="shared" si="10"/>
        <v>2250</v>
      </c>
      <c r="K59" s="24">
        <f t="shared" si="11"/>
        <v>24750</v>
      </c>
      <c r="L59" s="24">
        <f t="shared" si="12"/>
        <v>5000</v>
      </c>
      <c r="M59" s="24">
        <f t="shared" si="13"/>
        <v>1500</v>
      </c>
      <c r="N59" s="24">
        <f t="shared" si="14"/>
        <v>4500</v>
      </c>
      <c r="O59" s="24">
        <f>22400-5160</f>
        <v>17240</v>
      </c>
      <c r="P59" s="24">
        <v>25730</v>
      </c>
      <c r="Q59" s="24">
        <v>12000</v>
      </c>
      <c r="R59" s="24">
        <v>8000</v>
      </c>
      <c r="S59" s="24">
        <v>8000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f t="shared" si="15"/>
        <v>108970</v>
      </c>
      <c r="AA59" s="24">
        <v>100000</v>
      </c>
      <c r="AB59" s="20">
        <f t="shared" si="16"/>
        <v>8970</v>
      </c>
      <c r="AC59" s="24" t="str">
        <f t="shared" si="20"/>
        <v/>
      </c>
      <c r="AD59" s="24" t="str">
        <f t="shared" si="21"/>
        <v/>
      </c>
      <c r="AE59" s="24" t="str">
        <f t="shared" si="22"/>
        <v/>
      </c>
      <c r="AF59" s="25" t="s">
        <v>318</v>
      </c>
    </row>
    <row r="60" spans="1:32" x14ac:dyDescent="0.25">
      <c r="A60" s="22" t="s">
        <v>273</v>
      </c>
      <c r="B60" s="22" t="s">
        <v>186</v>
      </c>
      <c r="C60" s="22" t="s">
        <v>91</v>
      </c>
      <c r="D60" s="23">
        <v>0.25</v>
      </c>
      <c r="E60" s="24">
        <v>3000</v>
      </c>
      <c r="F60" s="24">
        <v>40000</v>
      </c>
      <c r="G60" s="24">
        <v>5000</v>
      </c>
      <c r="H60" s="24">
        <v>2000</v>
      </c>
      <c r="I60" s="24">
        <v>8000</v>
      </c>
      <c r="J60" s="24">
        <f t="shared" si="10"/>
        <v>2250</v>
      </c>
      <c r="K60" s="24">
        <f t="shared" si="11"/>
        <v>30000</v>
      </c>
      <c r="L60" s="24">
        <f t="shared" si="12"/>
        <v>5000</v>
      </c>
      <c r="M60" s="24">
        <f t="shared" si="13"/>
        <v>1500</v>
      </c>
      <c r="N60" s="24">
        <f t="shared" si="14"/>
        <v>6000</v>
      </c>
      <c r="O60" s="24">
        <v>11880</v>
      </c>
      <c r="P60" s="24">
        <v>14330</v>
      </c>
      <c r="Q60" s="24">
        <v>20000</v>
      </c>
      <c r="R60" s="24">
        <v>8000</v>
      </c>
      <c r="S60" s="24">
        <v>8000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f t="shared" si="15"/>
        <v>106960</v>
      </c>
      <c r="AA60" s="24">
        <v>100000</v>
      </c>
      <c r="AB60" s="20">
        <f t="shared" si="16"/>
        <v>6960</v>
      </c>
      <c r="AC60" s="24" t="str">
        <f t="shared" si="20"/>
        <v/>
      </c>
      <c r="AD60" s="24" t="str">
        <f t="shared" si="21"/>
        <v/>
      </c>
      <c r="AE60" s="24" t="str">
        <f t="shared" si="22"/>
        <v/>
      </c>
      <c r="AF60" s="25" t="s">
        <v>318</v>
      </c>
    </row>
    <row r="61" spans="1:32" x14ac:dyDescent="0.25">
      <c r="A61" s="22" t="s">
        <v>148</v>
      </c>
      <c r="B61" s="22" t="s">
        <v>149</v>
      </c>
      <c r="C61" s="22" t="s">
        <v>44</v>
      </c>
      <c r="D61" s="23">
        <v>0</v>
      </c>
      <c r="E61" s="24">
        <v>0</v>
      </c>
      <c r="F61" s="24">
        <v>26000</v>
      </c>
      <c r="G61" s="24">
        <v>4000</v>
      </c>
      <c r="H61" s="24">
        <v>0</v>
      </c>
      <c r="I61" s="24">
        <v>0</v>
      </c>
      <c r="J61" s="24">
        <f t="shared" si="10"/>
        <v>0</v>
      </c>
      <c r="K61" s="24">
        <f t="shared" si="11"/>
        <v>26000</v>
      </c>
      <c r="L61" s="24">
        <f t="shared" si="12"/>
        <v>4000</v>
      </c>
      <c r="M61" s="24">
        <f t="shared" si="13"/>
        <v>0</v>
      </c>
      <c r="N61" s="24">
        <f t="shared" si="14"/>
        <v>0</v>
      </c>
      <c r="O61" s="24">
        <v>13380</v>
      </c>
      <c r="P61" s="24">
        <v>7550</v>
      </c>
      <c r="Q61" s="24">
        <v>0</v>
      </c>
      <c r="R61" s="24">
        <v>0</v>
      </c>
      <c r="S61" s="24">
        <v>0</v>
      </c>
      <c r="T61" s="24">
        <v>6000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f t="shared" si="15"/>
        <v>56930</v>
      </c>
      <c r="AA61" s="24">
        <v>56930</v>
      </c>
      <c r="AB61" s="20">
        <f t="shared" si="16"/>
        <v>0</v>
      </c>
      <c r="AC61" s="24">
        <f t="shared" si="20"/>
        <v>6000</v>
      </c>
      <c r="AD61" s="24" t="str">
        <f t="shared" si="21"/>
        <v/>
      </c>
      <c r="AE61" s="24" t="str">
        <f t="shared" si="22"/>
        <v/>
      </c>
      <c r="AF61" s="25" t="s">
        <v>318</v>
      </c>
    </row>
    <row r="62" spans="1:32" x14ac:dyDescent="0.25">
      <c r="A62" s="22" t="s">
        <v>173</v>
      </c>
      <c r="B62" s="22" t="s">
        <v>174</v>
      </c>
      <c r="C62" s="22" t="s">
        <v>33</v>
      </c>
      <c r="D62" s="23">
        <v>0</v>
      </c>
      <c r="E62" s="24">
        <v>0</v>
      </c>
      <c r="F62" s="24">
        <v>28000</v>
      </c>
      <c r="G62" s="24">
        <v>4000</v>
      </c>
      <c r="H62" s="24">
        <v>2500</v>
      </c>
      <c r="I62" s="24">
        <v>5000</v>
      </c>
      <c r="J62" s="24">
        <f t="shared" si="10"/>
        <v>0</v>
      </c>
      <c r="K62" s="24">
        <f t="shared" si="11"/>
        <v>28000</v>
      </c>
      <c r="L62" s="24">
        <f t="shared" si="12"/>
        <v>4000</v>
      </c>
      <c r="M62" s="24">
        <f t="shared" si="13"/>
        <v>2500</v>
      </c>
      <c r="N62" s="24">
        <f t="shared" si="14"/>
        <v>5000</v>
      </c>
      <c r="O62" s="24">
        <v>25970</v>
      </c>
      <c r="P62" s="24">
        <v>11330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f t="shared" si="15"/>
        <v>76800</v>
      </c>
      <c r="AA62" s="24">
        <v>50000</v>
      </c>
      <c r="AB62" s="20">
        <f t="shared" si="16"/>
        <v>26800</v>
      </c>
      <c r="AC62" s="24" t="str">
        <f t="shared" si="20"/>
        <v/>
      </c>
      <c r="AD62" s="24" t="str">
        <f t="shared" si="21"/>
        <v/>
      </c>
      <c r="AE62" s="24" t="str">
        <f t="shared" si="22"/>
        <v/>
      </c>
      <c r="AF62" s="25" t="s">
        <v>318</v>
      </c>
    </row>
    <row r="63" spans="1:32" x14ac:dyDescent="0.25">
      <c r="A63" s="22" t="s">
        <v>170</v>
      </c>
      <c r="B63" s="22" t="s">
        <v>171</v>
      </c>
      <c r="C63" s="22" t="s">
        <v>44</v>
      </c>
      <c r="D63" s="23">
        <v>0.25</v>
      </c>
      <c r="E63" s="24">
        <v>0</v>
      </c>
      <c r="F63" s="24">
        <v>26000</v>
      </c>
      <c r="G63" s="24">
        <v>4000</v>
      </c>
      <c r="H63" s="24">
        <v>0</v>
      </c>
      <c r="I63" s="24">
        <v>0</v>
      </c>
      <c r="J63" s="24">
        <f t="shared" si="10"/>
        <v>0</v>
      </c>
      <c r="K63" s="24">
        <f t="shared" si="11"/>
        <v>19500</v>
      </c>
      <c r="L63" s="24">
        <f t="shared" si="12"/>
        <v>4000</v>
      </c>
      <c r="M63" s="24">
        <f t="shared" si="13"/>
        <v>0</v>
      </c>
      <c r="N63" s="24">
        <f t="shared" si="14"/>
        <v>0</v>
      </c>
      <c r="O63" s="24">
        <v>13380</v>
      </c>
      <c r="P63" s="24">
        <v>3950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f t="shared" si="15"/>
        <v>40830</v>
      </c>
      <c r="AA63" s="24">
        <v>30000</v>
      </c>
      <c r="AB63" s="20">
        <f t="shared" si="16"/>
        <v>10830</v>
      </c>
      <c r="AC63" s="24" t="str">
        <f t="shared" si="20"/>
        <v/>
      </c>
      <c r="AD63" s="24" t="str">
        <f t="shared" si="21"/>
        <v/>
      </c>
      <c r="AE63" s="24" t="str">
        <f t="shared" si="22"/>
        <v/>
      </c>
      <c r="AF63" s="25" t="s">
        <v>318</v>
      </c>
    </row>
    <row r="64" spans="1:32" x14ac:dyDescent="0.25">
      <c r="A64" s="22" t="s">
        <v>227</v>
      </c>
      <c r="B64" s="22" t="s">
        <v>248</v>
      </c>
      <c r="C64" s="22" t="s">
        <v>44</v>
      </c>
      <c r="D64" s="23">
        <v>0.05</v>
      </c>
      <c r="E64" s="24">
        <v>0</v>
      </c>
      <c r="F64" s="24">
        <v>26000</v>
      </c>
      <c r="G64" s="24">
        <v>4000</v>
      </c>
      <c r="H64" s="24">
        <v>0</v>
      </c>
      <c r="I64" s="24">
        <v>0</v>
      </c>
      <c r="J64" s="24">
        <f t="shared" si="10"/>
        <v>0</v>
      </c>
      <c r="K64" s="24">
        <f t="shared" si="11"/>
        <v>24700</v>
      </c>
      <c r="L64" s="24">
        <f t="shared" si="12"/>
        <v>4000</v>
      </c>
      <c r="M64" s="24">
        <f t="shared" si="13"/>
        <v>0</v>
      </c>
      <c r="N64" s="24">
        <f t="shared" si="14"/>
        <v>0</v>
      </c>
      <c r="O64" s="24">
        <v>13380</v>
      </c>
      <c r="P64" s="24">
        <v>7550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1000</v>
      </c>
      <c r="Z64" s="24">
        <f t="shared" si="15"/>
        <v>50630</v>
      </c>
      <c r="AA64" s="24">
        <v>51930</v>
      </c>
      <c r="AB64" s="20">
        <f t="shared" si="16"/>
        <v>-1300</v>
      </c>
      <c r="AC64" s="24" t="str">
        <f t="shared" si="20"/>
        <v/>
      </c>
      <c r="AD64" s="24" t="str">
        <f t="shared" si="21"/>
        <v/>
      </c>
      <c r="AE64" s="24" t="str">
        <f t="shared" si="22"/>
        <v/>
      </c>
      <c r="AF64" s="25" t="s">
        <v>319</v>
      </c>
    </row>
    <row r="65" spans="1:32" x14ac:dyDescent="0.25">
      <c r="A65" s="22" t="s">
        <v>77</v>
      </c>
      <c r="B65" s="22" t="s">
        <v>78</v>
      </c>
      <c r="C65" s="22" t="s">
        <v>33</v>
      </c>
      <c r="D65" s="23">
        <v>0</v>
      </c>
      <c r="E65" s="24">
        <v>0</v>
      </c>
      <c r="F65" s="24">
        <v>28000</v>
      </c>
      <c r="G65" s="24">
        <v>4000</v>
      </c>
      <c r="H65" s="24">
        <v>2500</v>
      </c>
      <c r="I65" s="24">
        <v>5000</v>
      </c>
      <c r="J65" s="24">
        <f t="shared" si="10"/>
        <v>0</v>
      </c>
      <c r="K65" s="24">
        <f t="shared" si="11"/>
        <v>28000</v>
      </c>
      <c r="L65" s="24">
        <f t="shared" si="12"/>
        <v>4000</v>
      </c>
      <c r="M65" s="24">
        <f t="shared" si="13"/>
        <v>2500</v>
      </c>
      <c r="N65" s="24">
        <f t="shared" si="14"/>
        <v>5000</v>
      </c>
      <c r="O65" s="24">
        <v>25970</v>
      </c>
      <c r="P65" s="24">
        <v>11330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550</v>
      </c>
      <c r="Z65" s="24">
        <f t="shared" si="15"/>
        <v>77350</v>
      </c>
      <c r="AA65" s="24">
        <v>25000</v>
      </c>
      <c r="AB65" s="20">
        <f t="shared" si="16"/>
        <v>52350</v>
      </c>
      <c r="AC65" s="24" t="str">
        <f t="shared" si="20"/>
        <v/>
      </c>
      <c r="AD65" s="24" t="str">
        <f t="shared" si="21"/>
        <v/>
      </c>
      <c r="AE65" s="24" t="str">
        <f t="shared" si="22"/>
        <v/>
      </c>
      <c r="AF65" s="25" t="s">
        <v>318</v>
      </c>
    </row>
    <row r="66" spans="1:32" x14ac:dyDescent="0.25">
      <c r="A66" s="22" t="s">
        <v>79</v>
      </c>
      <c r="B66" s="22" t="s">
        <v>80</v>
      </c>
      <c r="C66" s="22" t="s">
        <v>46</v>
      </c>
      <c r="D66" s="23">
        <v>0</v>
      </c>
      <c r="E66" s="24">
        <v>0</v>
      </c>
      <c r="F66" s="24">
        <v>28000</v>
      </c>
      <c r="G66" s="24">
        <v>4000</v>
      </c>
      <c r="H66" s="24">
        <v>0</v>
      </c>
      <c r="I66" s="24">
        <v>5000</v>
      </c>
      <c r="J66" s="24">
        <f t="shared" ref="J66:J97" si="23">(1-$D66)*E66</f>
        <v>0</v>
      </c>
      <c r="K66" s="24">
        <f t="shared" ref="K66:K97" si="24">(1-$D66)*F66</f>
        <v>28000</v>
      </c>
      <c r="L66" s="24">
        <f t="shared" ref="L66:L97" si="25">G66</f>
        <v>4000</v>
      </c>
      <c r="M66" s="24">
        <f t="shared" ref="M66:M97" si="26">(1-$D66)*H66</f>
        <v>0</v>
      </c>
      <c r="N66" s="24">
        <f t="shared" ref="N66:N97" si="27">(1-$D66)*I66</f>
        <v>5000</v>
      </c>
      <c r="O66" s="24">
        <v>27310</v>
      </c>
      <c r="P66" s="24">
        <v>13230</v>
      </c>
      <c r="Q66" s="24">
        <v>16000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f t="shared" ref="Z66:Z97" si="28">SUM(J66:Y66)</f>
        <v>93540</v>
      </c>
      <c r="AA66" s="24">
        <v>50000</v>
      </c>
      <c r="AB66" s="20">
        <f t="shared" ref="AB66:AB97" si="29">Z66-AA66</f>
        <v>43540</v>
      </c>
      <c r="AC66" s="24" t="str">
        <f t="shared" si="20"/>
        <v/>
      </c>
      <c r="AD66" s="24" t="str">
        <f t="shared" si="21"/>
        <v/>
      </c>
      <c r="AE66" s="24" t="str">
        <f t="shared" si="22"/>
        <v/>
      </c>
      <c r="AF66" s="25" t="s">
        <v>318</v>
      </c>
    </row>
    <row r="67" spans="1:32" x14ac:dyDescent="0.25">
      <c r="A67" s="22" t="s">
        <v>81</v>
      </c>
      <c r="B67" s="22" t="s">
        <v>82</v>
      </c>
      <c r="C67" s="22" t="s">
        <v>66</v>
      </c>
      <c r="D67" s="23">
        <v>0.5</v>
      </c>
      <c r="E67" s="24">
        <v>0</v>
      </c>
      <c r="F67" s="24">
        <v>33000</v>
      </c>
      <c r="G67" s="24">
        <v>5000</v>
      </c>
      <c r="H67" s="24">
        <v>2000</v>
      </c>
      <c r="I67" s="24">
        <v>6000</v>
      </c>
      <c r="J67" s="24">
        <f t="shared" si="23"/>
        <v>0</v>
      </c>
      <c r="K67" s="24">
        <f t="shared" si="24"/>
        <v>16500</v>
      </c>
      <c r="L67" s="24">
        <f t="shared" si="25"/>
        <v>5000</v>
      </c>
      <c r="M67" s="24">
        <f t="shared" si="26"/>
        <v>1000</v>
      </c>
      <c r="N67" s="24">
        <f t="shared" si="27"/>
        <v>3000</v>
      </c>
      <c r="O67" s="24">
        <v>22400</v>
      </c>
      <c r="P67" s="24">
        <v>14330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f t="shared" si="28"/>
        <v>62230</v>
      </c>
      <c r="AA67" s="24">
        <v>50000</v>
      </c>
      <c r="AB67" s="20">
        <f t="shared" si="29"/>
        <v>12230</v>
      </c>
      <c r="AC67" s="24" t="str">
        <f t="shared" si="20"/>
        <v/>
      </c>
      <c r="AD67" s="24" t="str">
        <f t="shared" si="21"/>
        <v/>
      </c>
      <c r="AE67" s="24" t="str">
        <f t="shared" si="22"/>
        <v/>
      </c>
      <c r="AF67" s="25" t="s">
        <v>318</v>
      </c>
    </row>
    <row r="68" spans="1:32" x14ac:dyDescent="0.25">
      <c r="A68" s="22" t="s">
        <v>81</v>
      </c>
      <c r="B68" s="22" t="s">
        <v>83</v>
      </c>
      <c r="C68" s="22" t="s">
        <v>58</v>
      </c>
      <c r="D68" s="23">
        <v>0.25</v>
      </c>
      <c r="E68" s="24">
        <v>0</v>
      </c>
      <c r="F68" s="24">
        <v>28000</v>
      </c>
      <c r="G68" s="24">
        <v>4000</v>
      </c>
      <c r="H68" s="24">
        <v>0</v>
      </c>
      <c r="I68" s="24">
        <v>5000</v>
      </c>
      <c r="J68" s="24">
        <f t="shared" si="23"/>
        <v>0</v>
      </c>
      <c r="K68" s="24">
        <f t="shared" si="24"/>
        <v>21000</v>
      </c>
      <c r="L68" s="24">
        <f t="shared" si="25"/>
        <v>4000</v>
      </c>
      <c r="M68" s="24">
        <f t="shared" si="26"/>
        <v>0</v>
      </c>
      <c r="N68" s="24">
        <f t="shared" si="27"/>
        <v>3750</v>
      </c>
      <c r="O68" s="24">
        <v>27330</v>
      </c>
      <c r="P68" s="24">
        <v>13230</v>
      </c>
      <c r="Q68" s="24">
        <v>12000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f t="shared" si="28"/>
        <v>81310</v>
      </c>
      <c r="AA68" s="24">
        <v>50000</v>
      </c>
      <c r="AB68" s="20">
        <f t="shared" si="29"/>
        <v>31310</v>
      </c>
      <c r="AC68" s="24" t="str">
        <f t="shared" si="20"/>
        <v/>
      </c>
      <c r="AD68" s="24" t="str">
        <f t="shared" si="21"/>
        <v/>
      </c>
      <c r="AE68" s="24" t="str">
        <f t="shared" si="22"/>
        <v/>
      </c>
      <c r="AF68" s="25" t="s">
        <v>318</v>
      </c>
    </row>
    <row r="69" spans="1:32" x14ac:dyDescent="0.25">
      <c r="A69" s="22" t="s">
        <v>360</v>
      </c>
      <c r="B69" s="22" t="s">
        <v>361</v>
      </c>
      <c r="C69" s="22" t="s">
        <v>48</v>
      </c>
      <c r="D69" s="23">
        <v>0.25</v>
      </c>
      <c r="E69" s="24">
        <v>2000</v>
      </c>
      <c r="F69" s="24">
        <v>28000</v>
      </c>
      <c r="G69" s="24">
        <v>4000</v>
      </c>
      <c r="H69" s="24">
        <v>2500</v>
      </c>
      <c r="I69" s="24">
        <v>5000</v>
      </c>
      <c r="J69" s="24">
        <f t="shared" si="23"/>
        <v>1500</v>
      </c>
      <c r="K69" s="24">
        <f t="shared" si="24"/>
        <v>21000</v>
      </c>
      <c r="L69" s="24">
        <f t="shared" si="25"/>
        <v>4000</v>
      </c>
      <c r="M69" s="24">
        <f t="shared" si="26"/>
        <v>1875</v>
      </c>
      <c r="N69" s="24">
        <f t="shared" si="27"/>
        <v>3750</v>
      </c>
      <c r="O69" s="24">
        <v>26150</v>
      </c>
      <c r="P69" s="24">
        <v>11330</v>
      </c>
      <c r="Q69" s="24">
        <v>16000</v>
      </c>
      <c r="R69" s="24">
        <v>8000</v>
      </c>
      <c r="S69" s="24">
        <v>7000</v>
      </c>
      <c r="T69" s="24">
        <v>6000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f t="shared" si="28"/>
        <v>106605</v>
      </c>
      <c r="AA69" s="24">
        <v>70000</v>
      </c>
      <c r="AB69" s="20">
        <f t="shared" si="29"/>
        <v>36605</v>
      </c>
      <c r="AC69" s="24" t="str">
        <f t="shared" si="20"/>
        <v/>
      </c>
      <c r="AD69" s="24" t="str">
        <f t="shared" si="21"/>
        <v/>
      </c>
      <c r="AE69" s="24" t="str">
        <f t="shared" si="22"/>
        <v/>
      </c>
      <c r="AF69" s="25"/>
    </row>
    <row r="70" spans="1:32" x14ac:dyDescent="0.25">
      <c r="A70" s="22" t="s">
        <v>346</v>
      </c>
      <c r="B70" s="22" t="s">
        <v>347</v>
      </c>
      <c r="C70" s="22" t="s">
        <v>245</v>
      </c>
      <c r="D70" s="23">
        <v>0</v>
      </c>
      <c r="E70" s="24">
        <v>2000</v>
      </c>
      <c r="F70" s="24">
        <v>26000</v>
      </c>
      <c r="G70" s="24">
        <v>2000</v>
      </c>
      <c r="H70" s="24">
        <v>0</v>
      </c>
      <c r="I70" s="24">
        <v>0</v>
      </c>
      <c r="J70" s="24">
        <f t="shared" si="23"/>
        <v>2000</v>
      </c>
      <c r="K70" s="24">
        <f t="shared" si="24"/>
        <v>26000</v>
      </c>
      <c r="L70" s="24">
        <f t="shared" si="25"/>
        <v>2000</v>
      </c>
      <c r="M70" s="24">
        <f t="shared" si="26"/>
        <v>0</v>
      </c>
      <c r="N70" s="24">
        <f t="shared" si="27"/>
        <v>0</v>
      </c>
      <c r="O70" s="24">
        <v>0</v>
      </c>
      <c r="P70" s="24">
        <v>3050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f t="shared" si="28"/>
        <v>33050</v>
      </c>
      <c r="AA70" s="24">
        <v>20000</v>
      </c>
      <c r="AB70" s="20">
        <f t="shared" si="29"/>
        <v>13050</v>
      </c>
      <c r="AC70" s="24" t="str">
        <f t="shared" si="20"/>
        <v/>
      </c>
      <c r="AD70" s="24" t="str">
        <f t="shared" si="21"/>
        <v/>
      </c>
      <c r="AE70" s="24" t="str">
        <f t="shared" si="22"/>
        <v/>
      </c>
      <c r="AF70" s="24"/>
    </row>
    <row r="71" spans="1:32" x14ac:dyDescent="0.25">
      <c r="A71" s="22" t="s">
        <v>188</v>
      </c>
      <c r="B71" s="22" t="s">
        <v>189</v>
      </c>
      <c r="C71" s="22" t="s">
        <v>36</v>
      </c>
      <c r="D71" s="23">
        <v>0</v>
      </c>
      <c r="E71" s="24">
        <v>0</v>
      </c>
      <c r="F71" s="24">
        <v>33000</v>
      </c>
      <c r="G71" s="24">
        <v>5000</v>
      </c>
      <c r="H71" s="24">
        <v>2000</v>
      </c>
      <c r="I71" s="24">
        <v>6000</v>
      </c>
      <c r="J71" s="24">
        <f t="shared" si="23"/>
        <v>0</v>
      </c>
      <c r="K71" s="24">
        <f t="shared" si="24"/>
        <v>33000</v>
      </c>
      <c r="L71" s="24">
        <f t="shared" si="25"/>
        <v>5000</v>
      </c>
      <c r="M71" s="24">
        <f t="shared" si="26"/>
        <v>2000</v>
      </c>
      <c r="N71" s="24">
        <f t="shared" si="27"/>
        <v>6000</v>
      </c>
      <c r="O71" s="24">
        <v>19500</v>
      </c>
      <c r="P71" s="24">
        <f>14330-11400</f>
        <v>2930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f t="shared" si="28"/>
        <v>68430</v>
      </c>
      <c r="AA71" s="24">
        <v>40000</v>
      </c>
      <c r="AB71" s="20">
        <f t="shared" si="29"/>
        <v>28430</v>
      </c>
      <c r="AC71" s="24" t="str">
        <f t="shared" si="20"/>
        <v/>
      </c>
      <c r="AD71" s="24" t="str">
        <f t="shared" si="21"/>
        <v/>
      </c>
      <c r="AE71" s="24" t="str">
        <f t="shared" si="22"/>
        <v/>
      </c>
      <c r="AF71" s="25" t="s">
        <v>318</v>
      </c>
    </row>
    <row r="72" spans="1:32" x14ac:dyDescent="0.25">
      <c r="A72" s="22" t="s">
        <v>206</v>
      </c>
      <c r="B72" s="22" t="s">
        <v>216</v>
      </c>
      <c r="C72" s="22" t="s">
        <v>49</v>
      </c>
      <c r="D72" s="23">
        <v>0.55000000000000004</v>
      </c>
      <c r="E72" s="24">
        <v>0</v>
      </c>
      <c r="F72" s="24">
        <v>26000</v>
      </c>
      <c r="G72" s="24">
        <v>4000</v>
      </c>
      <c r="H72" s="24">
        <v>1000</v>
      </c>
      <c r="I72" s="24">
        <v>0</v>
      </c>
      <c r="J72" s="24">
        <f t="shared" si="23"/>
        <v>0</v>
      </c>
      <c r="K72" s="24">
        <f t="shared" si="24"/>
        <v>11699.999999999998</v>
      </c>
      <c r="L72" s="24">
        <f t="shared" si="25"/>
        <v>4000</v>
      </c>
      <c r="M72" s="24">
        <f t="shared" si="26"/>
        <v>449.99999999999994</v>
      </c>
      <c r="N72" s="24">
        <f t="shared" si="27"/>
        <v>0</v>
      </c>
      <c r="O72" s="24">
        <v>6840</v>
      </c>
      <c r="P72" s="24">
        <v>5300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f t="shared" si="28"/>
        <v>28290</v>
      </c>
      <c r="AA72" s="24">
        <v>29640</v>
      </c>
      <c r="AB72" s="20">
        <f t="shared" si="29"/>
        <v>-1350</v>
      </c>
      <c r="AC72" s="24" t="str">
        <f t="shared" si="20"/>
        <v/>
      </c>
      <c r="AD72" s="24" t="str">
        <f t="shared" si="21"/>
        <v/>
      </c>
      <c r="AE72" s="24" t="str">
        <f t="shared" si="22"/>
        <v/>
      </c>
      <c r="AF72" s="25" t="s">
        <v>319</v>
      </c>
    </row>
    <row r="73" spans="1:32" x14ac:dyDescent="0.25">
      <c r="A73" s="22" t="s">
        <v>150</v>
      </c>
      <c r="B73" s="22" t="s">
        <v>72</v>
      </c>
      <c r="C73" s="22" t="s">
        <v>44</v>
      </c>
      <c r="D73" s="23">
        <v>0.5</v>
      </c>
      <c r="E73" s="24">
        <v>0</v>
      </c>
      <c r="F73" s="24">
        <v>26000</v>
      </c>
      <c r="G73" s="24">
        <v>4000</v>
      </c>
      <c r="H73" s="24">
        <v>0</v>
      </c>
      <c r="I73" s="24">
        <v>0</v>
      </c>
      <c r="J73" s="24">
        <f t="shared" si="23"/>
        <v>0</v>
      </c>
      <c r="K73" s="24">
        <f t="shared" si="24"/>
        <v>13000</v>
      </c>
      <c r="L73" s="24">
        <f t="shared" si="25"/>
        <v>4000</v>
      </c>
      <c r="M73" s="24">
        <f t="shared" si="26"/>
        <v>0</v>
      </c>
      <c r="N73" s="24">
        <f t="shared" si="27"/>
        <v>0</v>
      </c>
      <c r="O73" s="24">
        <v>13380</v>
      </c>
      <c r="P73" s="24">
        <v>7550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8000</v>
      </c>
      <c r="Z73" s="24">
        <f t="shared" si="28"/>
        <v>45930</v>
      </c>
      <c r="AA73" s="24">
        <v>15000</v>
      </c>
      <c r="AB73" s="20">
        <f t="shared" si="29"/>
        <v>30930</v>
      </c>
      <c r="AC73" s="24" t="str">
        <f t="shared" si="20"/>
        <v/>
      </c>
      <c r="AD73" s="24" t="str">
        <f t="shared" si="21"/>
        <v/>
      </c>
      <c r="AE73" s="24" t="str">
        <f t="shared" si="22"/>
        <v/>
      </c>
      <c r="AF73" s="25" t="s">
        <v>318</v>
      </c>
    </row>
    <row r="74" spans="1:32" x14ac:dyDescent="0.25">
      <c r="A74" s="22" t="s">
        <v>150</v>
      </c>
      <c r="B74" s="22" t="s">
        <v>151</v>
      </c>
      <c r="C74" s="22" t="s">
        <v>44</v>
      </c>
      <c r="D74" s="23">
        <v>0.5</v>
      </c>
      <c r="E74" s="24">
        <v>0</v>
      </c>
      <c r="F74" s="24">
        <v>26000</v>
      </c>
      <c r="G74" s="24">
        <v>4000</v>
      </c>
      <c r="H74" s="24">
        <v>0</v>
      </c>
      <c r="I74" s="24">
        <v>0</v>
      </c>
      <c r="J74" s="24">
        <f t="shared" si="23"/>
        <v>0</v>
      </c>
      <c r="K74" s="24">
        <f t="shared" si="24"/>
        <v>13000</v>
      </c>
      <c r="L74" s="24">
        <f t="shared" si="25"/>
        <v>4000</v>
      </c>
      <c r="M74" s="24">
        <f t="shared" si="26"/>
        <v>0</v>
      </c>
      <c r="N74" s="24">
        <f t="shared" si="27"/>
        <v>0</v>
      </c>
      <c r="O74" s="24">
        <v>13380</v>
      </c>
      <c r="P74" s="24">
        <v>7550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8000</v>
      </c>
      <c r="Z74" s="24">
        <f t="shared" si="28"/>
        <v>45930</v>
      </c>
      <c r="AA74" s="24">
        <v>15000</v>
      </c>
      <c r="AB74" s="20">
        <f t="shared" si="29"/>
        <v>30930</v>
      </c>
      <c r="AC74" s="24" t="str">
        <f t="shared" si="20"/>
        <v/>
      </c>
      <c r="AD74" s="24" t="str">
        <f t="shared" si="21"/>
        <v/>
      </c>
      <c r="AE74" s="24" t="str">
        <f t="shared" si="22"/>
        <v/>
      </c>
      <c r="AF74" s="25" t="s">
        <v>318</v>
      </c>
    </row>
    <row r="75" spans="1:32" x14ac:dyDescent="0.25">
      <c r="A75" s="22" t="s">
        <v>150</v>
      </c>
      <c r="B75" s="22" t="s">
        <v>215</v>
      </c>
      <c r="C75" s="22" t="s">
        <v>58</v>
      </c>
      <c r="D75" s="23">
        <v>0.5</v>
      </c>
      <c r="E75" s="24">
        <v>0</v>
      </c>
      <c r="F75" s="24">
        <v>28000</v>
      </c>
      <c r="G75" s="24">
        <v>4000</v>
      </c>
      <c r="H75" s="24">
        <v>0</v>
      </c>
      <c r="I75" s="24">
        <v>5000</v>
      </c>
      <c r="J75" s="24">
        <f t="shared" si="23"/>
        <v>0</v>
      </c>
      <c r="K75" s="24">
        <f t="shared" si="24"/>
        <v>14000</v>
      </c>
      <c r="L75" s="24">
        <f t="shared" si="25"/>
        <v>4000</v>
      </c>
      <c r="M75" s="24">
        <f t="shared" si="26"/>
        <v>0</v>
      </c>
      <c r="N75" s="24">
        <f t="shared" si="27"/>
        <v>2500</v>
      </c>
      <c r="O75" s="24">
        <v>27330</v>
      </c>
      <c r="P75" s="24">
        <v>13230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8080</v>
      </c>
      <c r="Z75" s="24">
        <f t="shared" si="28"/>
        <v>69140</v>
      </c>
      <c r="AA75" s="24">
        <v>20000</v>
      </c>
      <c r="AB75" s="20">
        <f t="shared" si="29"/>
        <v>49140</v>
      </c>
      <c r="AC75" s="24" t="str">
        <f t="shared" si="20"/>
        <v/>
      </c>
      <c r="AD75" s="24" t="str">
        <f t="shared" si="21"/>
        <v/>
      </c>
      <c r="AE75" s="24" t="str">
        <f t="shared" si="22"/>
        <v/>
      </c>
      <c r="AF75" s="25" t="s">
        <v>318</v>
      </c>
    </row>
    <row r="76" spans="1:32" x14ac:dyDescent="0.25">
      <c r="A76" s="22" t="s">
        <v>164</v>
      </c>
      <c r="B76" s="22" t="s">
        <v>165</v>
      </c>
      <c r="C76" s="22" t="s">
        <v>49</v>
      </c>
      <c r="D76" s="23">
        <v>0</v>
      </c>
      <c r="E76" s="24">
        <v>0</v>
      </c>
      <c r="F76" s="24">
        <v>26000</v>
      </c>
      <c r="G76" s="24">
        <v>4000</v>
      </c>
      <c r="H76" s="24">
        <v>1000</v>
      </c>
      <c r="I76" s="24">
        <v>0</v>
      </c>
      <c r="J76" s="24">
        <f t="shared" si="23"/>
        <v>0</v>
      </c>
      <c r="K76" s="24">
        <f t="shared" si="24"/>
        <v>26000</v>
      </c>
      <c r="L76" s="24">
        <f t="shared" si="25"/>
        <v>4000</v>
      </c>
      <c r="M76" s="24">
        <f t="shared" si="26"/>
        <v>1000</v>
      </c>
      <c r="N76" s="24">
        <f t="shared" si="27"/>
        <v>0</v>
      </c>
      <c r="O76" s="24">
        <v>6840</v>
      </c>
      <c r="P76" s="24">
        <v>5300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f t="shared" si="28"/>
        <v>43140</v>
      </c>
      <c r="AA76" s="24">
        <v>0</v>
      </c>
      <c r="AB76" s="20">
        <f t="shared" si="29"/>
        <v>43140</v>
      </c>
      <c r="AC76" s="24" t="str">
        <f t="shared" si="20"/>
        <v/>
      </c>
      <c r="AD76" s="24" t="str">
        <f t="shared" si="21"/>
        <v/>
      </c>
      <c r="AE76" s="24" t="str">
        <f t="shared" si="22"/>
        <v/>
      </c>
      <c r="AF76" s="25" t="s">
        <v>318</v>
      </c>
    </row>
    <row r="77" spans="1:32" x14ac:dyDescent="0.25">
      <c r="A77" s="22" t="s">
        <v>84</v>
      </c>
      <c r="B77" s="22" t="s">
        <v>199</v>
      </c>
      <c r="C77" s="22" t="s">
        <v>47</v>
      </c>
      <c r="D77" s="23">
        <v>0.25</v>
      </c>
      <c r="E77" s="24">
        <v>0</v>
      </c>
      <c r="F77" s="24">
        <v>26000</v>
      </c>
      <c r="G77" s="24">
        <v>4000</v>
      </c>
      <c r="H77" s="24">
        <v>0</v>
      </c>
      <c r="I77" s="24">
        <v>0</v>
      </c>
      <c r="J77" s="24">
        <f t="shared" si="23"/>
        <v>0</v>
      </c>
      <c r="K77" s="24">
        <f t="shared" si="24"/>
        <v>19500</v>
      </c>
      <c r="L77" s="24">
        <f t="shared" si="25"/>
        <v>4000</v>
      </c>
      <c r="M77" s="24">
        <f t="shared" si="26"/>
        <v>0</v>
      </c>
      <c r="N77" s="24">
        <f t="shared" si="27"/>
        <v>0</v>
      </c>
      <c r="O77" s="24">
        <v>24930</v>
      </c>
      <c r="P77" s="24">
        <v>10730</v>
      </c>
      <c r="Q77" s="24">
        <v>0</v>
      </c>
      <c r="R77" s="24">
        <v>0</v>
      </c>
      <c r="S77" s="24">
        <v>0</v>
      </c>
      <c r="T77" s="24">
        <v>6000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f t="shared" si="28"/>
        <v>65160</v>
      </c>
      <c r="AA77" s="24">
        <v>65160</v>
      </c>
      <c r="AB77" s="20">
        <f t="shared" si="29"/>
        <v>0</v>
      </c>
      <c r="AC77" s="24">
        <f t="shared" si="20"/>
        <v>6000</v>
      </c>
      <c r="AD77" s="24" t="str">
        <f t="shared" si="21"/>
        <v/>
      </c>
      <c r="AE77" s="24" t="str">
        <f t="shared" si="22"/>
        <v/>
      </c>
      <c r="AF77" s="25" t="s">
        <v>318</v>
      </c>
    </row>
    <row r="78" spans="1:32" x14ac:dyDescent="0.25">
      <c r="A78" s="22" t="s">
        <v>84</v>
      </c>
      <c r="B78" s="22" t="s">
        <v>212</v>
      </c>
      <c r="C78" s="22" t="s">
        <v>49</v>
      </c>
      <c r="D78" s="23">
        <v>0.25</v>
      </c>
      <c r="E78" s="24">
        <v>0</v>
      </c>
      <c r="F78" s="24">
        <v>26000</v>
      </c>
      <c r="G78" s="24">
        <v>4000</v>
      </c>
      <c r="H78" s="24">
        <v>1000</v>
      </c>
      <c r="I78" s="24">
        <v>0</v>
      </c>
      <c r="J78" s="24">
        <f t="shared" si="23"/>
        <v>0</v>
      </c>
      <c r="K78" s="24">
        <f t="shared" si="24"/>
        <v>19500</v>
      </c>
      <c r="L78" s="24">
        <f t="shared" si="25"/>
        <v>4000</v>
      </c>
      <c r="M78" s="24">
        <f t="shared" si="26"/>
        <v>750</v>
      </c>
      <c r="N78" s="24">
        <f t="shared" si="27"/>
        <v>0</v>
      </c>
      <c r="O78" s="24">
        <v>6840</v>
      </c>
      <c r="P78" s="24">
        <v>5300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-500</v>
      </c>
      <c r="Z78" s="24">
        <f t="shared" si="28"/>
        <v>35890</v>
      </c>
      <c r="AA78" s="24">
        <v>35890</v>
      </c>
      <c r="AB78" s="20">
        <f t="shared" si="29"/>
        <v>0</v>
      </c>
      <c r="AC78" s="24" t="str">
        <f t="shared" si="20"/>
        <v/>
      </c>
      <c r="AD78" s="24" t="str">
        <f t="shared" si="21"/>
        <v/>
      </c>
      <c r="AE78" s="24" t="str">
        <f t="shared" si="22"/>
        <v/>
      </c>
      <c r="AF78" s="25" t="s">
        <v>318</v>
      </c>
    </row>
    <row r="79" spans="1:32" x14ac:dyDescent="0.25">
      <c r="A79" s="22" t="s">
        <v>152</v>
      </c>
      <c r="B79" s="22" t="s">
        <v>153</v>
      </c>
      <c r="C79" s="22" t="s">
        <v>44</v>
      </c>
      <c r="D79" s="23">
        <v>0.25</v>
      </c>
      <c r="E79" s="24">
        <v>0</v>
      </c>
      <c r="F79" s="24">
        <v>26000</v>
      </c>
      <c r="G79" s="24">
        <v>4000</v>
      </c>
      <c r="H79" s="24">
        <v>0</v>
      </c>
      <c r="I79" s="24">
        <v>0</v>
      </c>
      <c r="J79" s="24">
        <f t="shared" si="23"/>
        <v>0</v>
      </c>
      <c r="K79" s="24">
        <f t="shared" si="24"/>
        <v>19500</v>
      </c>
      <c r="L79" s="24">
        <f t="shared" si="25"/>
        <v>4000</v>
      </c>
      <c r="M79" s="24">
        <f t="shared" si="26"/>
        <v>0</v>
      </c>
      <c r="N79" s="24">
        <f t="shared" si="27"/>
        <v>0</v>
      </c>
      <c r="O79" s="24">
        <v>13380</v>
      </c>
      <c r="P79" s="24">
        <v>7550</v>
      </c>
      <c r="Q79" s="24">
        <v>16000</v>
      </c>
      <c r="R79" s="24">
        <v>0</v>
      </c>
      <c r="S79" s="24">
        <v>0</v>
      </c>
      <c r="T79" s="24">
        <v>6000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f t="shared" si="28"/>
        <v>66430</v>
      </c>
      <c r="AA79" s="24">
        <v>15000</v>
      </c>
      <c r="AB79" s="20">
        <f t="shared" si="29"/>
        <v>51430</v>
      </c>
      <c r="AC79" s="24" t="str">
        <f t="shared" si="20"/>
        <v/>
      </c>
      <c r="AD79" s="24" t="str">
        <f t="shared" si="21"/>
        <v/>
      </c>
      <c r="AE79" s="24" t="str">
        <f t="shared" si="22"/>
        <v/>
      </c>
      <c r="AF79" s="25" t="s">
        <v>318</v>
      </c>
    </row>
    <row r="80" spans="1:32" x14ac:dyDescent="0.25">
      <c r="A80" s="22" t="s">
        <v>152</v>
      </c>
      <c r="B80" s="22" t="s">
        <v>208</v>
      </c>
      <c r="C80" s="22" t="s">
        <v>49</v>
      </c>
      <c r="D80" s="23">
        <v>0.25</v>
      </c>
      <c r="E80" s="24">
        <v>0</v>
      </c>
      <c r="F80" s="24">
        <v>26000</v>
      </c>
      <c r="G80" s="24">
        <v>4000</v>
      </c>
      <c r="H80" s="24">
        <v>1000</v>
      </c>
      <c r="I80" s="24">
        <v>0</v>
      </c>
      <c r="J80" s="24">
        <f t="shared" si="23"/>
        <v>0</v>
      </c>
      <c r="K80" s="24">
        <f t="shared" si="24"/>
        <v>19500</v>
      </c>
      <c r="L80" s="24">
        <f t="shared" si="25"/>
        <v>4000</v>
      </c>
      <c r="M80" s="24">
        <f t="shared" si="26"/>
        <v>750</v>
      </c>
      <c r="N80" s="24">
        <f t="shared" si="27"/>
        <v>0</v>
      </c>
      <c r="O80" s="24">
        <v>6840</v>
      </c>
      <c r="P80" s="24">
        <v>5300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f t="shared" si="28"/>
        <v>36390</v>
      </c>
      <c r="AA80" s="24">
        <v>15000</v>
      </c>
      <c r="AB80" s="20">
        <f t="shared" si="29"/>
        <v>21390</v>
      </c>
      <c r="AC80" s="24" t="str">
        <f t="shared" si="20"/>
        <v/>
      </c>
      <c r="AD80" s="24" t="str">
        <f t="shared" si="21"/>
        <v/>
      </c>
      <c r="AE80" s="24" t="str">
        <f t="shared" si="22"/>
        <v/>
      </c>
      <c r="AF80" s="25" t="s">
        <v>318</v>
      </c>
    </row>
    <row r="81" spans="1:32" x14ac:dyDescent="0.25">
      <c r="A81" s="22" t="s">
        <v>154</v>
      </c>
      <c r="B81" s="22" t="s">
        <v>156</v>
      </c>
      <c r="C81" s="22" t="s">
        <v>44</v>
      </c>
      <c r="D81" s="23">
        <v>0.25</v>
      </c>
      <c r="E81" s="24">
        <v>0</v>
      </c>
      <c r="F81" s="24">
        <v>26000</v>
      </c>
      <c r="G81" s="24">
        <v>4000</v>
      </c>
      <c r="H81" s="24">
        <v>0</v>
      </c>
      <c r="I81" s="24">
        <v>0</v>
      </c>
      <c r="J81" s="24">
        <f t="shared" si="23"/>
        <v>0</v>
      </c>
      <c r="K81" s="24">
        <f t="shared" si="24"/>
        <v>19500</v>
      </c>
      <c r="L81" s="24">
        <f t="shared" si="25"/>
        <v>4000</v>
      </c>
      <c r="M81" s="24">
        <f t="shared" si="26"/>
        <v>0</v>
      </c>
      <c r="N81" s="24">
        <f t="shared" si="27"/>
        <v>0</v>
      </c>
      <c r="O81" s="24">
        <v>13380</v>
      </c>
      <c r="P81" s="24">
        <v>4850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f t="shared" si="28"/>
        <v>41730</v>
      </c>
      <c r="AA81" s="24">
        <v>25000</v>
      </c>
      <c r="AB81" s="20">
        <f t="shared" si="29"/>
        <v>16730</v>
      </c>
      <c r="AC81" s="24" t="str">
        <f t="shared" si="20"/>
        <v/>
      </c>
      <c r="AD81" s="24" t="str">
        <f t="shared" si="21"/>
        <v/>
      </c>
      <c r="AE81" s="24" t="str">
        <f t="shared" si="22"/>
        <v/>
      </c>
      <c r="AF81" s="25" t="s">
        <v>318</v>
      </c>
    </row>
    <row r="82" spans="1:32" x14ac:dyDescent="0.25">
      <c r="A82" s="22" t="s">
        <v>154</v>
      </c>
      <c r="B82" s="22" t="s">
        <v>155</v>
      </c>
      <c r="C82" s="22" t="s">
        <v>46</v>
      </c>
      <c r="D82" s="23">
        <v>0.25</v>
      </c>
      <c r="E82" s="24">
        <v>0</v>
      </c>
      <c r="F82" s="24">
        <v>28000</v>
      </c>
      <c r="G82" s="24">
        <v>4000</v>
      </c>
      <c r="H82" s="24">
        <v>0</v>
      </c>
      <c r="I82" s="24">
        <v>5000</v>
      </c>
      <c r="J82" s="24">
        <f t="shared" si="23"/>
        <v>0</v>
      </c>
      <c r="K82" s="24">
        <f t="shared" si="24"/>
        <v>21000</v>
      </c>
      <c r="L82" s="24">
        <f t="shared" si="25"/>
        <v>4000</v>
      </c>
      <c r="M82" s="24">
        <f t="shared" si="26"/>
        <v>0</v>
      </c>
      <c r="N82" s="24">
        <f t="shared" si="27"/>
        <v>3750</v>
      </c>
      <c r="O82" s="24">
        <v>27310</v>
      </c>
      <c r="P82" s="24">
        <v>13230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-695</v>
      </c>
      <c r="Z82" s="24">
        <f t="shared" si="28"/>
        <v>68595</v>
      </c>
      <c r="AA82" s="24">
        <v>25000</v>
      </c>
      <c r="AB82" s="20">
        <f t="shared" si="29"/>
        <v>43595</v>
      </c>
      <c r="AC82" s="24" t="str">
        <f t="shared" si="20"/>
        <v/>
      </c>
      <c r="AD82" s="24" t="str">
        <f t="shared" si="21"/>
        <v/>
      </c>
      <c r="AE82" s="24" t="str">
        <f t="shared" si="22"/>
        <v/>
      </c>
      <c r="AF82" s="25" t="s">
        <v>318</v>
      </c>
    </row>
    <row r="83" spans="1:32" x14ac:dyDescent="0.25">
      <c r="A83" s="22" t="s">
        <v>344</v>
      </c>
      <c r="B83" s="22" t="s">
        <v>345</v>
      </c>
      <c r="C83" s="22" t="s">
        <v>48</v>
      </c>
      <c r="D83" s="23">
        <v>0</v>
      </c>
      <c r="E83" s="24">
        <v>2000</v>
      </c>
      <c r="F83" s="24">
        <v>28000</v>
      </c>
      <c r="G83" s="24">
        <v>4000</v>
      </c>
      <c r="H83" s="24">
        <v>2500</v>
      </c>
      <c r="I83" s="24">
        <v>5000</v>
      </c>
      <c r="J83" s="24">
        <f t="shared" si="23"/>
        <v>2000</v>
      </c>
      <c r="K83" s="24">
        <f t="shared" si="24"/>
        <v>28000</v>
      </c>
      <c r="L83" s="24">
        <f t="shared" si="25"/>
        <v>4000</v>
      </c>
      <c r="M83" s="24">
        <f t="shared" si="26"/>
        <v>2500</v>
      </c>
      <c r="N83" s="24">
        <f t="shared" si="27"/>
        <v>5000</v>
      </c>
      <c r="O83" s="24">
        <v>26150</v>
      </c>
      <c r="P83" s="24">
        <v>11330</v>
      </c>
      <c r="Q83" s="24">
        <v>16000</v>
      </c>
      <c r="R83" s="24">
        <v>8000</v>
      </c>
      <c r="S83" s="24">
        <v>7000</v>
      </c>
      <c r="T83" s="24">
        <v>6000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f t="shared" si="28"/>
        <v>115980</v>
      </c>
      <c r="AA83" s="24">
        <v>116000</v>
      </c>
      <c r="AB83" s="20">
        <f t="shared" si="29"/>
        <v>-20</v>
      </c>
      <c r="AC83" s="24">
        <f t="shared" si="20"/>
        <v>6000</v>
      </c>
      <c r="AD83" s="24" t="str">
        <f t="shared" si="21"/>
        <v/>
      </c>
      <c r="AE83" s="24" t="str">
        <f t="shared" si="22"/>
        <v/>
      </c>
      <c r="AF83" s="24"/>
    </row>
    <row r="84" spans="1:32" x14ac:dyDescent="0.25">
      <c r="A84" s="22" t="s">
        <v>378</v>
      </c>
      <c r="B84" s="22" t="s">
        <v>379</v>
      </c>
      <c r="C84" s="22" t="s">
        <v>241</v>
      </c>
      <c r="D84" s="23">
        <v>0.25</v>
      </c>
      <c r="E84" s="24">
        <v>2000</v>
      </c>
      <c r="F84" s="24">
        <v>28000</v>
      </c>
      <c r="G84" s="24">
        <v>4000</v>
      </c>
      <c r="H84" s="24">
        <v>2500</v>
      </c>
      <c r="I84" s="24">
        <v>5000</v>
      </c>
      <c r="J84" s="24">
        <f t="shared" si="23"/>
        <v>1500</v>
      </c>
      <c r="K84" s="24">
        <f t="shared" si="24"/>
        <v>21000</v>
      </c>
      <c r="L84" s="24">
        <f t="shared" si="25"/>
        <v>4000</v>
      </c>
      <c r="M84" s="24">
        <f t="shared" si="26"/>
        <v>1875</v>
      </c>
      <c r="N84" s="24">
        <f t="shared" si="27"/>
        <v>3750</v>
      </c>
      <c r="O84" s="24">
        <v>28790</v>
      </c>
      <c r="P84" s="24">
        <v>13230</v>
      </c>
      <c r="Q84" s="24">
        <v>16000</v>
      </c>
      <c r="R84" s="24">
        <v>8000</v>
      </c>
      <c r="S84" s="24">
        <v>7000</v>
      </c>
      <c r="T84" s="24">
        <v>6000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f t="shared" si="28"/>
        <v>111145</v>
      </c>
      <c r="AA84" s="24">
        <v>40000</v>
      </c>
      <c r="AB84" s="20">
        <f t="shared" si="29"/>
        <v>71145</v>
      </c>
      <c r="AC84" s="24" t="str">
        <f t="shared" si="20"/>
        <v/>
      </c>
      <c r="AD84" s="24" t="str">
        <f t="shared" si="21"/>
        <v/>
      </c>
      <c r="AE84" s="24" t="str">
        <f t="shared" si="22"/>
        <v/>
      </c>
      <c r="AF84" s="25"/>
    </row>
    <row r="85" spans="1:32" x14ac:dyDescent="0.25">
      <c r="A85" s="22" t="s">
        <v>230</v>
      </c>
      <c r="B85" s="22" t="s">
        <v>231</v>
      </c>
      <c r="C85" s="22" t="s">
        <v>44</v>
      </c>
      <c r="D85" s="23">
        <v>0</v>
      </c>
      <c r="E85" s="24">
        <v>0</v>
      </c>
      <c r="F85" s="24">
        <v>26000</v>
      </c>
      <c r="G85" s="24">
        <v>4000</v>
      </c>
      <c r="H85" s="24">
        <v>0</v>
      </c>
      <c r="I85" s="24">
        <v>0</v>
      </c>
      <c r="J85" s="24">
        <f t="shared" si="23"/>
        <v>0</v>
      </c>
      <c r="K85" s="24">
        <f t="shared" si="24"/>
        <v>26000</v>
      </c>
      <c r="L85" s="24">
        <f t="shared" si="25"/>
        <v>4000</v>
      </c>
      <c r="M85" s="24">
        <f t="shared" si="26"/>
        <v>0</v>
      </c>
      <c r="N85" s="24">
        <f t="shared" si="27"/>
        <v>0</v>
      </c>
      <c r="O85" s="24">
        <v>13380</v>
      </c>
      <c r="P85" s="24">
        <v>7550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14000</v>
      </c>
      <c r="Z85" s="24">
        <f t="shared" si="28"/>
        <v>64930</v>
      </c>
      <c r="AA85" s="24">
        <v>87000</v>
      </c>
      <c r="AB85" s="20">
        <f t="shared" si="29"/>
        <v>-22070</v>
      </c>
      <c r="AC85" s="24" t="str">
        <f t="shared" si="20"/>
        <v/>
      </c>
      <c r="AD85" s="24" t="str">
        <f t="shared" si="21"/>
        <v/>
      </c>
      <c r="AE85" s="24">
        <f t="shared" si="22"/>
        <v>0</v>
      </c>
      <c r="AF85" s="25" t="s">
        <v>318</v>
      </c>
    </row>
    <row r="86" spans="1:32" x14ac:dyDescent="0.25">
      <c r="A86" s="22" t="s">
        <v>85</v>
      </c>
      <c r="B86" s="22" t="s">
        <v>88</v>
      </c>
      <c r="C86" s="22" t="s">
        <v>36</v>
      </c>
      <c r="D86" s="23">
        <v>0.3</v>
      </c>
      <c r="E86" s="24">
        <v>0</v>
      </c>
      <c r="F86" s="24">
        <v>33000</v>
      </c>
      <c r="G86" s="24">
        <v>5000</v>
      </c>
      <c r="H86" s="24">
        <v>2000</v>
      </c>
      <c r="I86" s="24">
        <v>6000</v>
      </c>
      <c r="J86" s="24">
        <f t="shared" si="23"/>
        <v>0</v>
      </c>
      <c r="K86" s="24">
        <f t="shared" si="24"/>
        <v>23100</v>
      </c>
      <c r="L86" s="24">
        <f t="shared" si="25"/>
        <v>5000</v>
      </c>
      <c r="M86" s="24">
        <f t="shared" si="26"/>
        <v>1400</v>
      </c>
      <c r="N86" s="24">
        <f t="shared" si="27"/>
        <v>4200</v>
      </c>
      <c r="O86" s="24">
        <f>19500-11160</f>
        <v>8340</v>
      </c>
      <c r="P86" s="24">
        <f>14330-5700</f>
        <v>8630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f t="shared" si="28"/>
        <v>50670</v>
      </c>
      <c r="AA86" s="24">
        <v>35700</v>
      </c>
      <c r="AB86" s="20">
        <f t="shared" si="29"/>
        <v>14970</v>
      </c>
      <c r="AC86" s="24" t="str">
        <f t="shared" si="20"/>
        <v/>
      </c>
      <c r="AD86" s="24" t="str">
        <f t="shared" si="21"/>
        <v/>
      </c>
      <c r="AE86" s="24" t="str">
        <f t="shared" si="22"/>
        <v/>
      </c>
      <c r="AF86" s="25" t="s">
        <v>318</v>
      </c>
    </row>
    <row r="87" spans="1:32" x14ac:dyDescent="0.25">
      <c r="A87" s="22" t="s">
        <v>85</v>
      </c>
      <c r="B87" s="22" t="s">
        <v>87</v>
      </c>
      <c r="C87" s="22" t="s">
        <v>46</v>
      </c>
      <c r="D87" s="23">
        <v>0.25</v>
      </c>
      <c r="E87" s="24">
        <v>0</v>
      </c>
      <c r="F87" s="24">
        <v>28000</v>
      </c>
      <c r="G87" s="24">
        <v>4000</v>
      </c>
      <c r="H87" s="24">
        <v>0</v>
      </c>
      <c r="I87" s="24">
        <v>5000</v>
      </c>
      <c r="J87" s="24">
        <f t="shared" si="23"/>
        <v>0</v>
      </c>
      <c r="K87" s="24">
        <f t="shared" si="24"/>
        <v>21000</v>
      </c>
      <c r="L87" s="24">
        <f t="shared" si="25"/>
        <v>4000</v>
      </c>
      <c r="M87" s="24">
        <f t="shared" si="26"/>
        <v>0</v>
      </c>
      <c r="N87" s="24">
        <f t="shared" si="27"/>
        <v>3750</v>
      </c>
      <c r="O87" s="24">
        <v>27310</v>
      </c>
      <c r="P87" s="24">
        <v>10740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450</v>
      </c>
      <c r="Z87" s="24">
        <f t="shared" si="28"/>
        <v>67250</v>
      </c>
      <c r="AA87" s="24">
        <v>38790</v>
      </c>
      <c r="AB87" s="20">
        <f t="shared" si="29"/>
        <v>28460</v>
      </c>
      <c r="AC87" s="24" t="str">
        <f t="shared" si="20"/>
        <v/>
      </c>
      <c r="AD87" s="24" t="str">
        <f t="shared" si="21"/>
        <v/>
      </c>
      <c r="AE87" s="24" t="str">
        <f t="shared" si="22"/>
        <v/>
      </c>
      <c r="AF87" s="25" t="s">
        <v>318</v>
      </c>
    </row>
    <row r="88" spans="1:32" x14ac:dyDescent="0.25">
      <c r="A88" s="22" t="s">
        <v>85</v>
      </c>
      <c r="B88" s="22" t="s">
        <v>86</v>
      </c>
      <c r="C88" s="22" t="s">
        <v>69</v>
      </c>
      <c r="D88" s="23">
        <v>1</v>
      </c>
      <c r="E88" s="24">
        <v>0</v>
      </c>
      <c r="F88" s="24">
        <v>40000</v>
      </c>
      <c r="G88" s="24">
        <v>5000</v>
      </c>
      <c r="H88" s="24">
        <v>2000</v>
      </c>
      <c r="I88" s="24">
        <v>8000</v>
      </c>
      <c r="J88" s="24">
        <f t="shared" si="23"/>
        <v>0</v>
      </c>
      <c r="K88" s="24">
        <f t="shared" si="24"/>
        <v>0</v>
      </c>
      <c r="L88" s="24">
        <f t="shared" si="25"/>
        <v>5000</v>
      </c>
      <c r="M88" s="24">
        <f t="shared" si="26"/>
        <v>0</v>
      </c>
      <c r="N88" s="24">
        <f t="shared" si="27"/>
        <v>0</v>
      </c>
      <c r="O88" s="24">
        <v>11880</v>
      </c>
      <c r="P88" s="24">
        <f>14330-5700</f>
        <v>8630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f t="shared" si="28"/>
        <v>25510</v>
      </c>
      <c r="AA88" s="24">
        <v>25510</v>
      </c>
      <c r="AB88" s="20">
        <f t="shared" si="29"/>
        <v>0</v>
      </c>
      <c r="AC88" s="24" t="str">
        <f t="shared" si="20"/>
        <v/>
      </c>
      <c r="AD88" s="24" t="str">
        <f t="shared" si="21"/>
        <v/>
      </c>
      <c r="AE88" s="24" t="str">
        <f t="shared" si="22"/>
        <v/>
      </c>
      <c r="AF88" s="25" t="s">
        <v>318</v>
      </c>
    </row>
    <row r="89" spans="1:32" x14ac:dyDescent="0.25">
      <c r="A89" s="22" t="s">
        <v>89</v>
      </c>
      <c r="B89" s="22" t="s">
        <v>90</v>
      </c>
      <c r="C89" s="22" t="s">
        <v>44</v>
      </c>
      <c r="D89" s="23">
        <v>0</v>
      </c>
      <c r="E89" s="24">
        <v>0</v>
      </c>
      <c r="F89" s="24">
        <v>26000</v>
      </c>
      <c r="G89" s="24">
        <v>4000</v>
      </c>
      <c r="H89" s="24">
        <v>0</v>
      </c>
      <c r="I89" s="24">
        <v>0</v>
      </c>
      <c r="J89" s="24">
        <f t="shared" si="23"/>
        <v>0</v>
      </c>
      <c r="K89" s="24">
        <f t="shared" si="24"/>
        <v>26000</v>
      </c>
      <c r="L89" s="24">
        <f t="shared" si="25"/>
        <v>4000</v>
      </c>
      <c r="M89" s="24">
        <f t="shared" si="26"/>
        <v>0</v>
      </c>
      <c r="N89" s="24">
        <f t="shared" si="27"/>
        <v>0</v>
      </c>
      <c r="O89" s="24">
        <v>13380</v>
      </c>
      <c r="P89" s="24">
        <v>7550</v>
      </c>
      <c r="Q89" s="24">
        <v>8000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7000</v>
      </c>
      <c r="Z89" s="24">
        <f t="shared" si="28"/>
        <v>65930</v>
      </c>
      <c r="AA89" s="24">
        <v>50000</v>
      </c>
      <c r="AB89" s="20">
        <f t="shared" si="29"/>
        <v>15930</v>
      </c>
      <c r="AC89" s="24" t="str">
        <f t="shared" si="20"/>
        <v/>
      </c>
      <c r="AD89" s="24" t="str">
        <f t="shared" si="21"/>
        <v/>
      </c>
      <c r="AE89" s="24" t="str">
        <f t="shared" si="22"/>
        <v/>
      </c>
      <c r="AF89" s="25" t="s">
        <v>318</v>
      </c>
    </row>
    <row r="90" spans="1:32" x14ac:dyDescent="0.25">
      <c r="A90" s="22" t="s">
        <v>398</v>
      </c>
      <c r="B90" s="22" t="s">
        <v>399</v>
      </c>
      <c r="C90" s="22" t="s">
        <v>325</v>
      </c>
      <c r="D90" s="23">
        <v>0</v>
      </c>
      <c r="E90" s="24">
        <v>3000</v>
      </c>
      <c r="F90" s="24">
        <v>33000</v>
      </c>
      <c r="G90" s="24">
        <v>5000</v>
      </c>
      <c r="H90" s="24">
        <v>2000</v>
      </c>
      <c r="I90" s="24">
        <v>6000</v>
      </c>
      <c r="J90" s="24">
        <f t="shared" si="23"/>
        <v>3000</v>
      </c>
      <c r="K90" s="24">
        <f t="shared" si="24"/>
        <v>33000</v>
      </c>
      <c r="L90" s="24">
        <f t="shared" si="25"/>
        <v>5000</v>
      </c>
      <c r="M90" s="24">
        <f t="shared" si="26"/>
        <v>2000</v>
      </c>
      <c r="N90" s="24">
        <f t="shared" si="27"/>
        <v>6000</v>
      </c>
      <c r="O90" s="24">
        <v>19320</v>
      </c>
      <c r="P90" s="24">
        <v>16190</v>
      </c>
      <c r="Q90" s="24">
        <v>12000</v>
      </c>
      <c r="R90" s="24">
        <v>8000</v>
      </c>
      <c r="S90" s="24">
        <v>8000</v>
      </c>
      <c r="T90" s="24">
        <v>8000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f t="shared" si="28"/>
        <v>120510</v>
      </c>
      <c r="AA90" s="24">
        <v>90000</v>
      </c>
      <c r="AB90" s="20">
        <f t="shared" si="29"/>
        <v>30510</v>
      </c>
      <c r="AC90" s="24" t="str">
        <f t="shared" si="20"/>
        <v/>
      </c>
      <c r="AD90" s="24" t="str">
        <f t="shared" si="21"/>
        <v/>
      </c>
      <c r="AE90" s="24" t="str">
        <f t="shared" si="22"/>
        <v/>
      </c>
      <c r="AF90" s="25"/>
    </row>
    <row r="91" spans="1:32" x14ac:dyDescent="0.25">
      <c r="A91" s="22" t="s">
        <v>200</v>
      </c>
      <c r="B91" s="22" t="s">
        <v>210</v>
      </c>
      <c r="C91" s="22" t="s">
        <v>49</v>
      </c>
      <c r="D91" s="23">
        <v>0.25</v>
      </c>
      <c r="E91" s="24">
        <v>0</v>
      </c>
      <c r="F91" s="24">
        <v>26000</v>
      </c>
      <c r="G91" s="24">
        <v>4000</v>
      </c>
      <c r="H91" s="24">
        <v>1000</v>
      </c>
      <c r="I91" s="24">
        <v>0</v>
      </c>
      <c r="J91" s="24">
        <f t="shared" si="23"/>
        <v>0</v>
      </c>
      <c r="K91" s="24">
        <f t="shared" si="24"/>
        <v>19500</v>
      </c>
      <c r="L91" s="24">
        <f t="shared" si="25"/>
        <v>4000</v>
      </c>
      <c r="M91" s="24">
        <f t="shared" si="26"/>
        <v>750</v>
      </c>
      <c r="N91" s="24">
        <f t="shared" si="27"/>
        <v>0</v>
      </c>
      <c r="O91" s="24">
        <v>6840</v>
      </c>
      <c r="P91" s="24">
        <v>5300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19200</v>
      </c>
      <c r="Z91" s="24">
        <f t="shared" si="28"/>
        <v>55590</v>
      </c>
      <c r="AA91" s="24">
        <v>25000</v>
      </c>
      <c r="AB91" s="20">
        <f t="shared" si="29"/>
        <v>30590</v>
      </c>
      <c r="AC91" s="24" t="str">
        <f t="shared" si="20"/>
        <v/>
      </c>
      <c r="AD91" s="24" t="str">
        <f t="shared" si="21"/>
        <v/>
      </c>
      <c r="AE91" s="24" t="str">
        <f t="shared" si="22"/>
        <v/>
      </c>
      <c r="AF91" s="25" t="s">
        <v>318</v>
      </c>
    </row>
    <row r="92" spans="1:32" x14ac:dyDescent="0.25">
      <c r="A92" s="22" t="s">
        <v>200</v>
      </c>
      <c r="B92" s="22" t="s">
        <v>209</v>
      </c>
      <c r="C92" s="22" t="s">
        <v>49</v>
      </c>
      <c r="D92" s="23">
        <v>0.25</v>
      </c>
      <c r="E92" s="24">
        <v>0</v>
      </c>
      <c r="F92" s="24">
        <v>26000</v>
      </c>
      <c r="G92" s="24">
        <v>4000</v>
      </c>
      <c r="H92" s="24">
        <v>1000</v>
      </c>
      <c r="I92" s="24">
        <v>0</v>
      </c>
      <c r="J92" s="24">
        <f t="shared" si="23"/>
        <v>0</v>
      </c>
      <c r="K92" s="24">
        <f t="shared" si="24"/>
        <v>19500</v>
      </c>
      <c r="L92" s="24">
        <f t="shared" si="25"/>
        <v>4000</v>
      </c>
      <c r="M92" s="24">
        <f t="shared" si="26"/>
        <v>750</v>
      </c>
      <c r="N92" s="24">
        <f t="shared" si="27"/>
        <v>0</v>
      </c>
      <c r="O92" s="24">
        <v>6840</v>
      </c>
      <c r="P92" s="24">
        <v>5300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19200</v>
      </c>
      <c r="Z92" s="24">
        <f t="shared" si="28"/>
        <v>55590</v>
      </c>
      <c r="AA92" s="24">
        <v>25000</v>
      </c>
      <c r="AB92" s="20">
        <f t="shared" si="29"/>
        <v>30590</v>
      </c>
      <c r="AC92" s="24" t="str">
        <f t="shared" si="20"/>
        <v/>
      </c>
      <c r="AD92" s="24" t="str">
        <f t="shared" si="21"/>
        <v/>
      </c>
      <c r="AE92" s="24" t="str">
        <f t="shared" si="22"/>
        <v/>
      </c>
      <c r="AF92" s="25" t="s">
        <v>318</v>
      </c>
    </row>
    <row r="93" spans="1:32" x14ac:dyDescent="0.25">
      <c r="A93" s="22" t="s">
        <v>342</v>
      </c>
      <c r="B93" s="22" t="s">
        <v>343</v>
      </c>
      <c r="C93" s="22" t="s">
        <v>44</v>
      </c>
      <c r="D93" s="23">
        <v>0</v>
      </c>
      <c r="E93" s="24">
        <v>2000</v>
      </c>
      <c r="F93" s="24">
        <v>26000</v>
      </c>
      <c r="G93" s="24">
        <v>4000</v>
      </c>
      <c r="H93" s="24">
        <v>1000</v>
      </c>
      <c r="I93" s="24">
        <v>0</v>
      </c>
      <c r="J93" s="24">
        <f t="shared" si="23"/>
        <v>2000</v>
      </c>
      <c r="K93" s="24">
        <f t="shared" si="24"/>
        <v>26000</v>
      </c>
      <c r="L93" s="24">
        <f t="shared" si="25"/>
        <v>4000</v>
      </c>
      <c r="M93" s="24">
        <f t="shared" si="26"/>
        <v>1000</v>
      </c>
      <c r="N93" s="24">
        <f t="shared" si="27"/>
        <v>0</v>
      </c>
      <c r="O93" s="24">
        <v>13380</v>
      </c>
      <c r="P93" s="24">
        <v>7550</v>
      </c>
      <c r="Q93" s="24">
        <v>16000</v>
      </c>
      <c r="R93" s="24">
        <v>8000</v>
      </c>
      <c r="S93" s="24">
        <v>7000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f t="shared" si="28"/>
        <v>84930</v>
      </c>
      <c r="AA93" s="24">
        <v>40000</v>
      </c>
      <c r="AB93" s="20">
        <f t="shared" si="29"/>
        <v>44930</v>
      </c>
      <c r="AC93" s="24" t="str">
        <f t="shared" si="20"/>
        <v/>
      </c>
      <c r="AD93" s="24" t="str">
        <f t="shared" si="21"/>
        <v/>
      </c>
      <c r="AE93" s="24" t="str">
        <f t="shared" si="22"/>
        <v/>
      </c>
      <c r="AF93" s="24"/>
    </row>
    <row r="94" spans="1:32" x14ac:dyDescent="0.25">
      <c r="A94" s="22" t="s">
        <v>281</v>
      </c>
      <c r="B94" s="22" t="s">
        <v>283</v>
      </c>
      <c r="C94" s="22" t="s">
        <v>47</v>
      </c>
      <c r="D94" s="23">
        <v>0.25</v>
      </c>
      <c r="E94" s="24">
        <v>2000</v>
      </c>
      <c r="F94" s="24">
        <v>26000</v>
      </c>
      <c r="G94" s="24">
        <v>4000</v>
      </c>
      <c r="H94" s="24">
        <v>1000</v>
      </c>
      <c r="I94" s="24">
        <v>0</v>
      </c>
      <c r="J94" s="24">
        <f t="shared" si="23"/>
        <v>1500</v>
      </c>
      <c r="K94" s="24">
        <f t="shared" si="24"/>
        <v>19500</v>
      </c>
      <c r="L94" s="24">
        <f t="shared" si="25"/>
        <v>4000</v>
      </c>
      <c r="M94" s="24">
        <f t="shared" si="26"/>
        <v>750</v>
      </c>
      <c r="N94" s="24">
        <f t="shared" si="27"/>
        <v>0</v>
      </c>
      <c r="O94" s="24">
        <v>24930</v>
      </c>
      <c r="P94" s="24">
        <v>10730</v>
      </c>
      <c r="Q94" s="24">
        <v>16000</v>
      </c>
      <c r="R94" s="24">
        <v>8000</v>
      </c>
      <c r="S94" s="24">
        <v>7000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f t="shared" si="28"/>
        <v>92410</v>
      </c>
      <c r="AA94" s="24">
        <f>13670+12440</f>
        <v>26110</v>
      </c>
      <c r="AB94" s="20">
        <f t="shared" si="29"/>
        <v>66300</v>
      </c>
      <c r="AC94" s="24" t="str">
        <f t="shared" si="20"/>
        <v/>
      </c>
      <c r="AD94" s="24" t="str">
        <f t="shared" si="21"/>
        <v/>
      </c>
      <c r="AE94" s="24" t="str">
        <f t="shared" si="22"/>
        <v/>
      </c>
      <c r="AF94" s="25" t="s">
        <v>318</v>
      </c>
    </row>
    <row r="95" spans="1:32" x14ac:dyDescent="0.25">
      <c r="A95" s="22" t="s">
        <v>281</v>
      </c>
      <c r="B95" s="22" t="s">
        <v>282</v>
      </c>
      <c r="C95" s="22" t="s">
        <v>49</v>
      </c>
      <c r="D95" s="23">
        <v>0.25</v>
      </c>
      <c r="E95" s="24">
        <v>2000</v>
      </c>
      <c r="F95" s="24">
        <v>26000</v>
      </c>
      <c r="G95" s="24">
        <v>4000</v>
      </c>
      <c r="H95" s="24">
        <v>1000</v>
      </c>
      <c r="I95" s="24">
        <v>0</v>
      </c>
      <c r="J95" s="24">
        <f t="shared" si="23"/>
        <v>1500</v>
      </c>
      <c r="K95" s="24">
        <f t="shared" si="24"/>
        <v>19500</v>
      </c>
      <c r="L95" s="24">
        <f t="shared" si="25"/>
        <v>4000</v>
      </c>
      <c r="M95" s="24">
        <f t="shared" si="26"/>
        <v>750</v>
      </c>
      <c r="N95" s="24">
        <f t="shared" si="27"/>
        <v>0</v>
      </c>
      <c r="O95" s="24">
        <v>6840</v>
      </c>
      <c r="P95" s="24">
        <v>5300</v>
      </c>
      <c r="Q95" s="24">
        <v>16000</v>
      </c>
      <c r="R95" s="24">
        <v>8000</v>
      </c>
      <c r="S95" s="24">
        <v>7000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f t="shared" si="28"/>
        <v>68890</v>
      </c>
      <c r="AA95" s="24">
        <v>68890</v>
      </c>
      <c r="AB95" s="20">
        <f t="shared" si="29"/>
        <v>0</v>
      </c>
      <c r="AC95" s="24" t="str">
        <f t="shared" si="20"/>
        <v/>
      </c>
      <c r="AD95" s="24" t="str">
        <f t="shared" si="21"/>
        <v/>
      </c>
      <c r="AE95" s="24" t="str">
        <f t="shared" si="22"/>
        <v/>
      </c>
      <c r="AF95" s="25" t="s">
        <v>319</v>
      </c>
    </row>
    <row r="96" spans="1:32" x14ac:dyDescent="0.25">
      <c r="A96" s="22" t="s">
        <v>437</v>
      </c>
      <c r="B96" s="22" t="s">
        <v>438</v>
      </c>
      <c r="C96" s="22" t="s">
        <v>245</v>
      </c>
      <c r="D96" s="23">
        <v>0</v>
      </c>
      <c r="E96" s="24">
        <v>2000</v>
      </c>
      <c r="F96" s="24">
        <v>26000</v>
      </c>
      <c r="G96" s="24">
        <v>2000</v>
      </c>
      <c r="H96" s="24">
        <v>0</v>
      </c>
      <c r="I96" s="24">
        <v>0</v>
      </c>
      <c r="J96" s="24">
        <f t="shared" si="23"/>
        <v>2000</v>
      </c>
      <c r="K96" s="24">
        <f t="shared" si="24"/>
        <v>26000</v>
      </c>
      <c r="L96" s="24">
        <f t="shared" si="25"/>
        <v>2000</v>
      </c>
      <c r="M96" s="24">
        <f t="shared" si="26"/>
        <v>0</v>
      </c>
      <c r="N96" s="24">
        <f t="shared" si="27"/>
        <v>0</v>
      </c>
      <c r="O96" s="24">
        <v>0</v>
      </c>
      <c r="P96" s="24">
        <v>3050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f t="shared" si="28"/>
        <v>33050</v>
      </c>
      <c r="AA96" s="24">
        <v>49050</v>
      </c>
      <c r="AB96" s="20">
        <f t="shared" si="29"/>
        <v>-16000</v>
      </c>
      <c r="AC96" s="24"/>
      <c r="AD96" s="24"/>
      <c r="AE96" s="24"/>
      <c r="AF96" s="24"/>
    </row>
    <row r="97" spans="1:32" x14ac:dyDescent="0.25">
      <c r="A97" s="22" t="s">
        <v>92</v>
      </c>
      <c r="B97" s="22" t="s">
        <v>138</v>
      </c>
      <c r="C97" s="22" t="s">
        <v>49</v>
      </c>
      <c r="D97" s="23">
        <v>0.25</v>
      </c>
      <c r="E97" s="24">
        <v>0</v>
      </c>
      <c r="F97" s="24">
        <v>26000</v>
      </c>
      <c r="G97" s="24">
        <v>4000</v>
      </c>
      <c r="H97" s="24">
        <v>1000</v>
      </c>
      <c r="I97" s="24">
        <v>0</v>
      </c>
      <c r="J97" s="24">
        <f t="shared" si="23"/>
        <v>0</v>
      </c>
      <c r="K97" s="24">
        <f t="shared" si="24"/>
        <v>19500</v>
      </c>
      <c r="L97" s="24">
        <f t="shared" si="25"/>
        <v>4000</v>
      </c>
      <c r="M97" s="24">
        <f t="shared" si="26"/>
        <v>750</v>
      </c>
      <c r="N97" s="24">
        <f t="shared" si="27"/>
        <v>0</v>
      </c>
      <c r="O97" s="24">
        <v>6840</v>
      </c>
      <c r="P97" s="24">
        <v>5300</v>
      </c>
      <c r="Q97" s="24">
        <v>16000</v>
      </c>
      <c r="R97" s="24">
        <v>8000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f t="shared" si="28"/>
        <v>60390</v>
      </c>
      <c r="AA97" s="24">
        <v>40000</v>
      </c>
      <c r="AB97" s="20">
        <f t="shared" si="29"/>
        <v>20390</v>
      </c>
      <c r="AC97" s="24" t="str">
        <f t="shared" ref="AC97:AC136" si="30">IF(AND($T97=6000, ($T97+$W97-$AB97)&gt;=6000),T97,"")</f>
        <v/>
      </c>
      <c r="AD97" s="24" t="str">
        <f t="shared" ref="AD97:AD136" si="31">IF(AND($T97=8000, ($T97+$W97-$AB97)&gt;=8000),T97,"")</f>
        <v/>
      </c>
      <c r="AE97" s="24" t="str">
        <f t="shared" ref="AE97:AE136" si="32">IF(($T97+$W97-$AB97)&gt;=$T97+8000,W97,"")</f>
        <v/>
      </c>
      <c r="AF97" s="25" t="s">
        <v>318</v>
      </c>
    </row>
    <row r="98" spans="1:32" x14ac:dyDescent="0.25">
      <c r="A98" s="22" t="s">
        <v>92</v>
      </c>
      <c r="B98" s="22" t="s">
        <v>93</v>
      </c>
      <c r="C98" s="22" t="s">
        <v>33</v>
      </c>
      <c r="D98" s="23">
        <v>0.25</v>
      </c>
      <c r="E98" s="24">
        <v>0</v>
      </c>
      <c r="F98" s="24">
        <v>28000</v>
      </c>
      <c r="G98" s="24">
        <v>4000</v>
      </c>
      <c r="H98" s="24">
        <v>2500</v>
      </c>
      <c r="I98" s="24">
        <v>5000</v>
      </c>
      <c r="J98" s="24">
        <f t="shared" ref="J98:J129" si="33">(1-$D98)*E98</f>
        <v>0</v>
      </c>
      <c r="K98" s="24">
        <f t="shared" ref="K98:K129" si="34">(1-$D98)*F98</f>
        <v>21000</v>
      </c>
      <c r="L98" s="24">
        <f t="shared" ref="L98:L129" si="35">G98</f>
        <v>4000</v>
      </c>
      <c r="M98" s="24">
        <f t="shared" ref="M98:M129" si="36">(1-$D98)*H98</f>
        <v>1875</v>
      </c>
      <c r="N98" s="24">
        <f t="shared" ref="N98:N129" si="37">(1-$D98)*I98</f>
        <v>3750</v>
      </c>
      <c r="O98" s="24">
        <v>25970</v>
      </c>
      <c r="P98" s="24">
        <v>11330</v>
      </c>
      <c r="Q98" s="24">
        <v>16000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f t="shared" ref="Z98:Z129" si="38">SUM(J98:Y98)</f>
        <v>83925</v>
      </c>
      <c r="AA98" s="24">
        <v>40000</v>
      </c>
      <c r="AB98" s="20">
        <f t="shared" ref="AB98:AB129" si="39">Z98-AA98</f>
        <v>43925</v>
      </c>
      <c r="AC98" s="24" t="str">
        <f t="shared" si="30"/>
        <v/>
      </c>
      <c r="AD98" s="24" t="str">
        <f t="shared" si="31"/>
        <v/>
      </c>
      <c r="AE98" s="24" t="str">
        <f t="shared" si="32"/>
        <v/>
      </c>
      <c r="AF98" s="25" t="s">
        <v>318</v>
      </c>
    </row>
    <row r="99" spans="1:32" x14ac:dyDescent="0.25">
      <c r="A99" s="22" t="s">
        <v>94</v>
      </c>
      <c r="B99" s="22" t="s">
        <v>95</v>
      </c>
      <c r="C99" s="22" t="s">
        <v>44</v>
      </c>
      <c r="D99" s="23">
        <v>0</v>
      </c>
      <c r="E99" s="24">
        <v>0</v>
      </c>
      <c r="F99" s="24">
        <v>26000</v>
      </c>
      <c r="G99" s="24">
        <v>4000</v>
      </c>
      <c r="H99" s="24">
        <v>0</v>
      </c>
      <c r="I99" s="24">
        <v>0</v>
      </c>
      <c r="J99" s="24">
        <f t="shared" si="33"/>
        <v>0</v>
      </c>
      <c r="K99" s="24">
        <f t="shared" si="34"/>
        <v>26000</v>
      </c>
      <c r="L99" s="24">
        <f t="shared" si="35"/>
        <v>4000</v>
      </c>
      <c r="M99" s="24">
        <f t="shared" si="36"/>
        <v>0</v>
      </c>
      <c r="N99" s="24">
        <f t="shared" si="37"/>
        <v>0</v>
      </c>
      <c r="O99" s="24">
        <v>13380</v>
      </c>
      <c r="P99" s="24">
        <v>7550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-3030</v>
      </c>
      <c r="Z99" s="24">
        <f t="shared" si="38"/>
        <v>47900</v>
      </c>
      <c r="AA99" s="24">
        <v>27900</v>
      </c>
      <c r="AB99" s="20">
        <f t="shared" si="39"/>
        <v>20000</v>
      </c>
      <c r="AC99" s="24" t="str">
        <f t="shared" si="30"/>
        <v/>
      </c>
      <c r="AD99" s="24" t="str">
        <f t="shared" si="31"/>
        <v/>
      </c>
      <c r="AE99" s="24" t="str">
        <f t="shared" si="32"/>
        <v/>
      </c>
      <c r="AF99" s="25" t="s">
        <v>318</v>
      </c>
    </row>
    <row r="100" spans="1:32" x14ac:dyDescent="0.25">
      <c r="A100" s="22" t="s">
        <v>380</v>
      </c>
      <c r="B100" s="22" t="s">
        <v>381</v>
      </c>
      <c r="C100" s="22" t="s">
        <v>44</v>
      </c>
      <c r="D100" s="23">
        <v>0</v>
      </c>
      <c r="E100" s="24">
        <v>2000</v>
      </c>
      <c r="F100" s="24">
        <v>26000</v>
      </c>
      <c r="G100" s="24">
        <v>4000</v>
      </c>
      <c r="H100" s="24">
        <v>1000</v>
      </c>
      <c r="I100" s="24">
        <v>0</v>
      </c>
      <c r="J100" s="24">
        <f t="shared" si="33"/>
        <v>2000</v>
      </c>
      <c r="K100" s="24">
        <f t="shared" si="34"/>
        <v>26000</v>
      </c>
      <c r="L100" s="24">
        <f t="shared" si="35"/>
        <v>4000</v>
      </c>
      <c r="M100" s="24">
        <f t="shared" si="36"/>
        <v>1000</v>
      </c>
      <c r="N100" s="24">
        <f t="shared" si="37"/>
        <v>0</v>
      </c>
      <c r="O100" s="24">
        <v>13380</v>
      </c>
      <c r="P100" s="24">
        <v>7550</v>
      </c>
      <c r="Q100" s="24">
        <v>16000</v>
      </c>
      <c r="R100" s="24">
        <v>8000</v>
      </c>
      <c r="S100" s="24">
        <v>7000</v>
      </c>
      <c r="T100" s="24">
        <v>6000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f t="shared" si="38"/>
        <v>90930</v>
      </c>
      <c r="AA100" s="24">
        <v>82000</v>
      </c>
      <c r="AB100" s="20">
        <f t="shared" si="39"/>
        <v>8930</v>
      </c>
      <c r="AC100" s="24" t="str">
        <f t="shared" si="30"/>
        <v/>
      </c>
      <c r="AD100" s="24" t="str">
        <f t="shared" si="31"/>
        <v/>
      </c>
      <c r="AE100" s="24" t="str">
        <f t="shared" si="32"/>
        <v/>
      </c>
      <c r="AF100" s="24"/>
    </row>
    <row r="101" spans="1:32" x14ac:dyDescent="0.25">
      <c r="A101" s="22" t="s">
        <v>197</v>
      </c>
      <c r="B101" s="22" t="s">
        <v>198</v>
      </c>
      <c r="C101" s="22" t="s">
        <v>49</v>
      </c>
      <c r="D101" s="23">
        <v>0.25</v>
      </c>
      <c r="E101" s="24">
        <v>0</v>
      </c>
      <c r="F101" s="24">
        <v>26000</v>
      </c>
      <c r="G101" s="24">
        <v>4000</v>
      </c>
      <c r="H101" s="24">
        <v>1000</v>
      </c>
      <c r="I101" s="24">
        <v>0</v>
      </c>
      <c r="J101" s="24">
        <f t="shared" si="33"/>
        <v>0</v>
      </c>
      <c r="K101" s="24">
        <f t="shared" si="34"/>
        <v>19500</v>
      </c>
      <c r="L101" s="24">
        <f t="shared" si="35"/>
        <v>4000</v>
      </c>
      <c r="M101" s="24">
        <f t="shared" si="36"/>
        <v>750</v>
      </c>
      <c r="N101" s="24">
        <f t="shared" si="37"/>
        <v>0</v>
      </c>
      <c r="O101" s="24">
        <v>6840</v>
      </c>
      <c r="P101" s="24">
        <v>5300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3500</v>
      </c>
      <c r="Z101" s="24">
        <f t="shared" si="38"/>
        <v>39890</v>
      </c>
      <c r="AA101" s="24">
        <v>0</v>
      </c>
      <c r="AB101" s="20">
        <f t="shared" si="39"/>
        <v>39890</v>
      </c>
      <c r="AC101" s="24" t="str">
        <f t="shared" si="30"/>
        <v/>
      </c>
      <c r="AD101" s="24" t="str">
        <f t="shared" si="31"/>
        <v/>
      </c>
      <c r="AE101" s="24" t="str">
        <f t="shared" si="32"/>
        <v/>
      </c>
      <c r="AF101" s="25" t="s">
        <v>318</v>
      </c>
    </row>
    <row r="102" spans="1:32" x14ac:dyDescent="0.25">
      <c r="A102" s="22" t="s">
        <v>139</v>
      </c>
      <c r="B102" s="22" t="s">
        <v>140</v>
      </c>
      <c r="C102" s="22" t="s">
        <v>44</v>
      </c>
      <c r="D102" s="23">
        <v>0</v>
      </c>
      <c r="E102" s="24">
        <v>0</v>
      </c>
      <c r="F102" s="24">
        <v>26000</v>
      </c>
      <c r="G102" s="24">
        <v>4000</v>
      </c>
      <c r="H102" s="24">
        <v>0</v>
      </c>
      <c r="I102" s="24">
        <v>0</v>
      </c>
      <c r="J102" s="24">
        <f t="shared" si="33"/>
        <v>0</v>
      </c>
      <c r="K102" s="24">
        <f t="shared" si="34"/>
        <v>26000</v>
      </c>
      <c r="L102" s="24">
        <f t="shared" si="35"/>
        <v>4000</v>
      </c>
      <c r="M102" s="24">
        <f t="shared" si="36"/>
        <v>0</v>
      </c>
      <c r="N102" s="24">
        <f t="shared" si="37"/>
        <v>0</v>
      </c>
      <c r="O102" s="24">
        <v>13380</v>
      </c>
      <c r="P102" s="24">
        <v>4850</v>
      </c>
      <c r="Q102" s="24">
        <v>0</v>
      </c>
      <c r="R102" s="24">
        <v>0</v>
      </c>
      <c r="S102" s="24">
        <v>0</v>
      </c>
      <c r="T102" s="24">
        <v>6000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f t="shared" si="38"/>
        <v>54230</v>
      </c>
      <c r="AA102" s="24">
        <v>44700</v>
      </c>
      <c r="AB102" s="20">
        <f t="shared" si="39"/>
        <v>9530</v>
      </c>
      <c r="AC102" s="24" t="str">
        <f t="shared" si="30"/>
        <v/>
      </c>
      <c r="AD102" s="24" t="str">
        <f t="shared" si="31"/>
        <v/>
      </c>
      <c r="AE102" s="24" t="str">
        <f t="shared" si="32"/>
        <v/>
      </c>
      <c r="AF102" s="25" t="s">
        <v>318</v>
      </c>
    </row>
    <row r="103" spans="1:32" x14ac:dyDescent="0.25">
      <c r="A103" s="22" t="s">
        <v>96</v>
      </c>
      <c r="B103" s="22" t="s">
        <v>98</v>
      </c>
      <c r="C103" s="22" t="s">
        <v>44</v>
      </c>
      <c r="D103" s="23">
        <v>0.25</v>
      </c>
      <c r="E103" s="24">
        <v>0</v>
      </c>
      <c r="F103" s="24">
        <v>26000</v>
      </c>
      <c r="G103" s="24">
        <v>4000</v>
      </c>
      <c r="H103" s="24">
        <v>0</v>
      </c>
      <c r="I103" s="24">
        <v>0</v>
      </c>
      <c r="J103" s="24">
        <f t="shared" si="33"/>
        <v>0</v>
      </c>
      <c r="K103" s="24">
        <f t="shared" si="34"/>
        <v>19500</v>
      </c>
      <c r="L103" s="24">
        <f t="shared" si="35"/>
        <v>4000</v>
      </c>
      <c r="M103" s="24">
        <f t="shared" si="36"/>
        <v>0</v>
      </c>
      <c r="N103" s="24">
        <f t="shared" si="37"/>
        <v>0</v>
      </c>
      <c r="O103" s="24">
        <v>13380</v>
      </c>
      <c r="P103" s="24">
        <v>7550</v>
      </c>
      <c r="Q103" s="24">
        <v>0</v>
      </c>
      <c r="R103" s="24">
        <v>0</v>
      </c>
      <c r="S103" s="24">
        <v>0</v>
      </c>
      <c r="T103" s="24">
        <v>6000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f t="shared" si="38"/>
        <v>50430</v>
      </c>
      <c r="AA103" s="24">
        <v>50430</v>
      </c>
      <c r="AB103" s="20">
        <f t="shared" si="39"/>
        <v>0</v>
      </c>
      <c r="AC103" s="24">
        <f t="shared" si="30"/>
        <v>6000</v>
      </c>
      <c r="AD103" s="24" t="str">
        <f t="shared" si="31"/>
        <v/>
      </c>
      <c r="AE103" s="24" t="str">
        <f t="shared" si="32"/>
        <v/>
      </c>
      <c r="AF103" s="25" t="s">
        <v>318</v>
      </c>
    </row>
    <row r="104" spans="1:32" x14ac:dyDescent="0.25">
      <c r="A104" s="22" t="s">
        <v>96</v>
      </c>
      <c r="B104" s="22" t="s">
        <v>97</v>
      </c>
      <c r="C104" s="22" t="s">
        <v>33</v>
      </c>
      <c r="D104" s="23">
        <v>0.25</v>
      </c>
      <c r="E104" s="24">
        <v>0</v>
      </c>
      <c r="F104" s="24">
        <v>28000</v>
      </c>
      <c r="G104" s="24">
        <v>4000</v>
      </c>
      <c r="H104" s="24">
        <v>2500</v>
      </c>
      <c r="I104" s="24">
        <v>5000</v>
      </c>
      <c r="J104" s="24">
        <f t="shared" si="33"/>
        <v>0</v>
      </c>
      <c r="K104" s="24">
        <f t="shared" si="34"/>
        <v>21000</v>
      </c>
      <c r="L104" s="24">
        <f t="shared" si="35"/>
        <v>4000</v>
      </c>
      <c r="M104" s="24">
        <f t="shared" si="36"/>
        <v>1875</v>
      </c>
      <c r="N104" s="24">
        <f t="shared" si="37"/>
        <v>3750</v>
      </c>
      <c r="O104" s="24">
        <v>25970</v>
      </c>
      <c r="P104" s="24">
        <v>11330</v>
      </c>
      <c r="Q104" s="24">
        <v>0</v>
      </c>
      <c r="R104" s="24">
        <v>0</v>
      </c>
      <c r="S104" s="24">
        <v>0</v>
      </c>
      <c r="T104" s="24">
        <v>6000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f t="shared" si="38"/>
        <v>73925</v>
      </c>
      <c r="AA104" s="24">
        <v>40000</v>
      </c>
      <c r="AB104" s="20">
        <f t="shared" si="39"/>
        <v>33925</v>
      </c>
      <c r="AC104" s="24" t="str">
        <f t="shared" si="30"/>
        <v/>
      </c>
      <c r="AD104" s="24" t="str">
        <f t="shared" si="31"/>
        <v/>
      </c>
      <c r="AE104" s="24" t="str">
        <f t="shared" si="32"/>
        <v/>
      </c>
      <c r="AF104" s="25" t="s">
        <v>318</v>
      </c>
    </row>
    <row r="105" spans="1:32" x14ac:dyDescent="0.25">
      <c r="A105" s="22" t="s">
        <v>96</v>
      </c>
      <c r="B105" s="22" t="s">
        <v>99</v>
      </c>
      <c r="C105" s="22" t="s">
        <v>46</v>
      </c>
      <c r="D105" s="23">
        <v>0.25</v>
      </c>
      <c r="E105" s="24">
        <v>0</v>
      </c>
      <c r="F105" s="24">
        <v>28000</v>
      </c>
      <c r="G105" s="24">
        <v>4000</v>
      </c>
      <c r="H105" s="24">
        <v>0</v>
      </c>
      <c r="I105" s="24">
        <v>5000</v>
      </c>
      <c r="J105" s="24">
        <f t="shared" si="33"/>
        <v>0</v>
      </c>
      <c r="K105" s="24">
        <f t="shared" si="34"/>
        <v>21000</v>
      </c>
      <c r="L105" s="24">
        <f t="shared" si="35"/>
        <v>4000</v>
      </c>
      <c r="M105" s="24">
        <f t="shared" si="36"/>
        <v>0</v>
      </c>
      <c r="N105" s="24">
        <f t="shared" si="37"/>
        <v>3750</v>
      </c>
      <c r="O105" s="24">
        <v>27310</v>
      </c>
      <c r="P105" s="24">
        <v>13230</v>
      </c>
      <c r="Q105" s="24">
        <v>0</v>
      </c>
      <c r="R105" s="24">
        <v>0</v>
      </c>
      <c r="S105" s="24">
        <v>0</v>
      </c>
      <c r="T105" s="24">
        <v>6000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f t="shared" si="38"/>
        <v>75290</v>
      </c>
      <c r="AA105" s="24">
        <v>49570</v>
      </c>
      <c r="AB105" s="20">
        <f t="shared" si="39"/>
        <v>25720</v>
      </c>
      <c r="AC105" s="24" t="str">
        <f t="shared" si="30"/>
        <v/>
      </c>
      <c r="AD105" s="24" t="str">
        <f t="shared" si="31"/>
        <v/>
      </c>
      <c r="AE105" s="24" t="str">
        <f t="shared" si="32"/>
        <v/>
      </c>
      <c r="AF105" s="25" t="s">
        <v>318</v>
      </c>
    </row>
    <row r="106" spans="1:32" x14ac:dyDescent="0.25">
      <c r="A106" s="22" t="s">
        <v>100</v>
      </c>
      <c r="B106" s="22" t="s">
        <v>45</v>
      </c>
      <c r="C106" s="22" t="s">
        <v>33</v>
      </c>
      <c r="D106" s="23">
        <v>0</v>
      </c>
      <c r="E106" s="24">
        <v>0</v>
      </c>
      <c r="F106" s="24">
        <v>28000</v>
      </c>
      <c r="G106" s="24">
        <v>4000</v>
      </c>
      <c r="H106" s="24">
        <v>2500</v>
      </c>
      <c r="I106" s="24">
        <v>5000</v>
      </c>
      <c r="J106" s="24">
        <f t="shared" si="33"/>
        <v>0</v>
      </c>
      <c r="K106" s="24">
        <f t="shared" si="34"/>
        <v>28000</v>
      </c>
      <c r="L106" s="24">
        <f t="shared" si="35"/>
        <v>4000</v>
      </c>
      <c r="M106" s="24">
        <f t="shared" si="36"/>
        <v>2500</v>
      </c>
      <c r="N106" s="24">
        <f t="shared" si="37"/>
        <v>5000</v>
      </c>
      <c r="O106" s="24">
        <v>25970</v>
      </c>
      <c r="P106" s="24">
        <v>11330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f t="shared" si="38"/>
        <v>76800</v>
      </c>
      <c r="AA106" s="24">
        <v>0</v>
      </c>
      <c r="AB106" s="20">
        <f t="shared" si="39"/>
        <v>76800</v>
      </c>
      <c r="AC106" s="24" t="str">
        <f t="shared" si="30"/>
        <v/>
      </c>
      <c r="AD106" s="24" t="str">
        <f t="shared" si="31"/>
        <v/>
      </c>
      <c r="AE106" s="24" t="str">
        <f t="shared" si="32"/>
        <v/>
      </c>
      <c r="AF106" s="25" t="s">
        <v>318</v>
      </c>
    </row>
    <row r="107" spans="1:32" x14ac:dyDescent="0.25">
      <c r="A107" s="22" t="s">
        <v>101</v>
      </c>
      <c r="B107" s="22" t="s">
        <v>102</v>
      </c>
      <c r="C107" s="22" t="s">
        <v>58</v>
      </c>
      <c r="D107" s="23">
        <v>1</v>
      </c>
      <c r="E107" s="24">
        <v>0</v>
      </c>
      <c r="F107" s="24">
        <v>28000</v>
      </c>
      <c r="G107" s="24">
        <v>4000</v>
      </c>
      <c r="H107" s="24">
        <v>0</v>
      </c>
      <c r="I107" s="24">
        <v>5000</v>
      </c>
      <c r="J107" s="24">
        <f t="shared" si="33"/>
        <v>0</v>
      </c>
      <c r="K107" s="24">
        <f t="shared" si="34"/>
        <v>0</v>
      </c>
      <c r="L107" s="24">
        <f t="shared" si="35"/>
        <v>4000</v>
      </c>
      <c r="M107" s="24">
        <f t="shared" si="36"/>
        <v>0</v>
      </c>
      <c r="N107" s="24">
        <f t="shared" si="37"/>
        <v>0</v>
      </c>
      <c r="O107" s="24">
        <v>27330</v>
      </c>
      <c r="P107" s="24">
        <v>13230</v>
      </c>
      <c r="Q107" s="24">
        <v>0</v>
      </c>
      <c r="R107" s="24">
        <v>0</v>
      </c>
      <c r="S107" s="24">
        <v>0</v>
      </c>
      <c r="T107" s="24">
        <v>6000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f t="shared" si="38"/>
        <v>50560</v>
      </c>
      <c r="AA107" s="24">
        <v>30000</v>
      </c>
      <c r="AB107" s="20">
        <f t="shared" si="39"/>
        <v>20560</v>
      </c>
      <c r="AC107" s="24" t="str">
        <f t="shared" si="30"/>
        <v/>
      </c>
      <c r="AD107" s="24" t="str">
        <f t="shared" si="31"/>
        <v/>
      </c>
      <c r="AE107" s="24" t="str">
        <f t="shared" si="32"/>
        <v/>
      </c>
      <c r="AF107" s="25" t="s">
        <v>318</v>
      </c>
    </row>
    <row r="108" spans="1:32" x14ac:dyDescent="0.25">
      <c r="A108" s="22" t="s">
        <v>103</v>
      </c>
      <c r="B108" s="22" t="s">
        <v>157</v>
      </c>
      <c r="C108" s="22" t="s">
        <v>30</v>
      </c>
      <c r="D108" s="23">
        <v>0.25</v>
      </c>
      <c r="E108" s="24">
        <v>0</v>
      </c>
      <c r="F108" s="24">
        <v>26000</v>
      </c>
      <c r="G108" s="24">
        <v>4000</v>
      </c>
      <c r="H108" s="24">
        <v>1000</v>
      </c>
      <c r="I108" s="24">
        <v>0</v>
      </c>
      <c r="J108" s="24">
        <f t="shared" si="33"/>
        <v>0</v>
      </c>
      <c r="K108" s="24">
        <f t="shared" si="34"/>
        <v>19500</v>
      </c>
      <c r="L108" s="24">
        <f t="shared" si="35"/>
        <v>4000</v>
      </c>
      <c r="M108" s="24">
        <f t="shared" si="36"/>
        <v>750</v>
      </c>
      <c r="N108" s="24">
        <f t="shared" si="37"/>
        <v>0</v>
      </c>
      <c r="O108" s="24">
        <v>12480</v>
      </c>
      <c r="P108" s="24">
        <v>7550</v>
      </c>
      <c r="Q108" s="24">
        <v>0</v>
      </c>
      <c r="R108" s="24">
        <v>0</v>
      </c>
      <c r="S108" s="24">
        <v>0</v>
      </c>
      <c r="T108" s="24">
        <v>6000</v>
      </c>
      <c r="U108" s="24">
        <v>0</v>
      </c>
      <c r="V108" s="24">
        <v>0</v>
      </c>
      <c r="W108" s="24">
        <v>0</v>
      </c>
      <c r="X108" s="24">
        <v>0</v>
      </c>
      <c r="Y108" s="24">
        <v>65</v>
      </c>
      <c r="Z108" s="24">
        <f t="shared" si="38"/>
        <v>50345</v>
      </c>
      <c r="AA108" s="24">
        <v>50345</v>
      </c>
      <c r="AB108" s="20">
        <f t="shared" si="39"/>
        <v>0</v>
      </c>
      <c r="AC108" s="24">
        <f t="shared" si="30"/>
        <v>6000</v>
      </c>
      <c r="AD108" s="24" t="str">
        <f t="shared" si="31"/>
        <v/>
      </c>
      <c r="AE108" s="24" t="str">
        <f t="shared" si="32"/>
        <v/>
      </c>
      <c r="AF108" s="25" t="s">
        <v>318</v>
      </c>
    </row>
    <row r="109" spans="1:32" x14ac:dyDescent="0.25">
      <c r="A109" s="22" t="s">
        <v>103</v>
      </c>
      <c r="B109" s="22" t="s">
        <v>104</v>
      </c>
      <c r="C109" s="22" t="s">
        <v>33</v>
      </c>
      <c r="D109" s="23">
        <v>0.25</v>
      </c>
      <c r="E109" s="24">
        <v>0</v>
      </c>
      <c r="F109" s="24">
        <v>28000</v>
      </c>
      <c r="G109" s="24">
        <v>4000</v>
      </c>
      <c r="H109" s="24">
        <v>2500</v>
      </c>
      <c r="I109" s="24">
        <v>5000</v>
      </c>
      <c r="J109" s="24">
        <f t="shared" si="33"/>
        <v>0</v>
      </c>
      <c r="K109" s="24">
        <f t="shared" si="34"/>
        <v>21000</v>
      </c>
      <c r="L109" s="24">
        <f t="shared" si="35"/>
        <v>4000</v>
      </c>
      <c r="M109" s="24">
        <f t="shared" si="36"/>
        <v>1875</v>
      </c>
      <c r="N109" s="24">
        <f t="shared" si="37"/>
        <v>3750</v>
      </c>
      <c r="O109" s="24">
        <v>25970</v>
      </c>
      <c r="P109" s="24">
        <v>11330</v>
      </c>
      <c r="Q109" s="24">
        <v>0</v>
      </c>
      <c r="R109" s="24">
        <v>0</v>
      </c>
      <c r="S109" s="24">
        <v>0</v>
      </c>
      <c r="T109" s="24">
        <v>6000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f t="shared" si="38"/>
        <v>73925</v>
      </c>
      <c r="AA109" s="24">
        <v>73925</v>
      </c>
      <c r="AB109" s="20">
        <f t="shared" si="39"/>
        <v>0</v>
      </c>
      <c r="AC109" s="24">
        <f t="shared" si="30"/>
        <v>6000</v>
      </c>
      <c r="AD109" s="24" t="str">
        <f t="shared" si="31"/>
        <v/>
      </c>
      <c r="AE109" s="24" t="str">
        <f t="shared" si="32"/>
        <v/>
      </c>
      <c r="AF109" s="25" t="s">
        <v>318</v>
      </c>
    </row>
    <row r="110" spans="1:32" x14ac:dyDescent="0.25">
      <c r="A110" s="22" t="s">
        <v>105</v>
      </c>
      <c r="B110" s="22" t="s">
        <v>106</v>
      </c>
      <c r="C110" s="22" t="s">
        <v>66</v>
      </c>
      <c r="D110" s="23">
        <v>0.3</v>
      </c>
      <c r="E110" s="24">
        <v>0</v>
      </c>
      <c r="F110" s="24">
        <v>33000</v>
      </c>
      <c r="G110" s="24">
        <v>5000</v>
      </c>
      <c r="H110" s="24">
        <v>2000</v>
      </c>
      <c r="I110" s="24">
        <v>6000</v>
      </c>
      <c r="J110" s="24">
        <f t="shared" si="33"/>
        <v>0</v>
      </c>
      <c r="K110" s="24">
        <f t="shared" si="34"/>
        <v>23100</v>
      </c>
      <c r="L110" s="24">
        <f t="shared" si="35"/>
        <v>5000</v>
      </c>
      <c r="M110" s="24">
        <f t="shared" si="36"/>
        <v>1400</v>
      </c>
      <c r="N110" s="24">
        <f t="shared" si="37"/>
        <v>4200</v>
      </c>
      <c r="O110" s="24">
        <v>22400</v>
      </c>
      <c r="P110" s="24">
        <f>14330-11400</f>
        <v>2930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f t="shared" si="38"/>
        <v>59030</v>
      </c>
      <c r="AA110" s="24">
        <v>0</v>
      </c>
      <c r="AB110" s="20">
        <f t="shared" si="39"/>
        <v>59030</v>
      </c>
      <c r="AC110" s="24" t="str">
        <f t="shared" si="30"/>
        <v/>
      </c>
      <c r="AD110" s="24" t="str">
        <f t="shared" si="31"/>
        <v/>
      </c>
      <c r="AE110" s="24" t="str">
        <f t="shared" si="32"/>
        <v/>
      </c>
      <c r="AF110" s="25" t="s">
        <v>318</v>
      </c>
    </row>
    <row r="111" spans="1:32" x14ac:dyDescent="0.25">
      <c r="A111" s="22" t="s">
        <v>204</v>
      </c>
      <c r="B111" s="22" t="s">
        <v>205</v>
      </c>
      <c r="C111" s="22" t="s">
        <v>49</v>
      </c>
      <c r="D111" s="23">
        <v>0.05</v>
      </c>
      <c r="E111" s="24">
        <v>0</v>
      </c>
      <c r="F111" s="24">
        <v>26000</v>
      </c>
      <c r="G111" s="24">
        <v>4000</v>
      </c>
      <c r="H111" s="24">
        <v>1000</v>
      </c>
      <c r="I111" s="24">
        <v>0</v>
      </c>
      <c r="J111" s="24">
        <f t="shared" si="33"/>
        <v>0</v>
      </c>
      <c r="K111" s="24">
        <f t="shared" si="34"/>
        <v>24700</v>
      </c>
      <c r="L111" s="24">
        <f t="shared" si="35"/>
        <v>4000</v>
      </c>
      <c r="M111" s="24">
        <f t="shared" si="36"/>
        <v>950</v>
      </c>
      <c r="N111" s="24">
        <f t="shared" si="37"/>
        <v>0</v>
      </c>
      <c r="O111" s="24">
        <v>6840</v>
      </c>
      <c r="P111" s="24">
        <v>5300</v>
      </c>
      <c r="Q111" s="24">
        <v>4000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-10000</v>
      </c>
      <c r="Z111" s="24">
        <f t="shared" si="38"/>
        <v>35790</v>
      </c>
      <c r="AA111" s="24">
        <v>33140</v>
      </c>
      <c r="AB111" s="20">
        <f t="shared" si="39"/>
        <v>2650</v>
      </c>
      <c r="AC111" s="24" t="str">
        <f t="shared" si="30"/>
        <v/>
      </c>
      <c r="AD111" s="24" t="str">
        <f t="shared" si="31"/>
        <v/>
      </c>
      <c r="AE111" s="24" t="str">
        <f t="shared" si="32"/>
        <v/>
      </c>
      <c r="AF111" s="25" t="s">
        <v>319</v>
      </c>
    </row>
    <row r="112" spans="1:32" x14ac:dyDescent="0.25">
      <c r="A112" s="22" t="s">
        <v>107</v>
      </c>
      <c r="B112" s="22" t="s">
        <v>109</v>
      </c>
      <c r="C112" s="22" t="s">
        <v>44</v>
      </c>
      <c r="D112" s="23">
        <v>0.5</v>
      </c>
      <c r="E112" s="24">
        <v>0</v>
      </c>
      <c r="F112" s="24">
        <v>26000</v>
      </c>
      <c r="G112" s="24">
        <v>4000</v>
      </c>
      <c r="H112" s="24">
        <v>0</v>
      </c>
      <c r="I112" s="24">
        <v>0</v>
      </c>
      <c r="J112" s="24">
        <f t="shared" si="33"/>
        <v>0</v>
      </c>
      <c r="K112" s="24">
        <f t="shared" si="34"/>
        <v>13000</v>
      </c>
      <c r="L112" s="24">
        <f t="shared" si="35"/>
        <v>4000</v>
      </c>
      <c r="M112" s="24">
        <f t="shared" si="36"/>
        <v>0</v>
      </c>
      <c r="N112" s="24">
        <f t="shared" si="37"/>
        <v>0</v>
      </c>
      <c r="O112" s="24">
        <v>13380</v>
      </c>
      <c r="P112" s="24">
        <v>7550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8000</v>
      </c>
      <c r="Z112" s="24">
        <f t="shared" si="38"/>
        <v>45930</v>
      </c>
      <c r="AA112" s="24">
        <v>20000</v>
      </c>
      <c r="AB112" s="20">
        <f t="shared" si="39"/>
        <v>25930</v>
      </c>
      <c r="AC112" s="24" t="str">
        <f t="shared" si="30"/>
        <v/>
      </c>
      <c r="AD112" s="24" t="str">
        <f t="shared" si="31"/>
        <v/>
      </c>
      <c r="AE112" s="24" t="str">
        <f t="shared" si="32"/>
        <v/>
      </c>
      <c r="AF112" s="25" t="s">
        <v>318</v>
      </c>
    </row>
    <row r="113" spans="1:32" x14ac:dyDescent="0.25">
      <c r="A113" s="22" t="s">
        <v>107</v>
      </c>
      <c r="B113" s="22" t="s">
        <v>108</v>
      </c>
      <c r="C113" s="22" t="s">
        <v>48</v>
      </c>
      <c r="D113" s="23">
        <v>0.5</v>
      </c>
      <c r="E113" s="24">
        <v>0</v>
      </c>
      <c r="F113" s="24">
        <v>28000</v>
      </c>
      <c r="G113" s="24">
        <v>4000</v>
      </c>
      <c r="H113" s="24">
        <v>0</v>
      </c>
      <c r="I113" s="24">
        <v>5000</v>
      </c>
      <c r="J113" s="24">
        <f t="shared" si="33"/>
        <v>0</v>
      </c>
      <c r="K113" s="24">
        <f t="shared" si="34"/>
        <v>14000</v>
      </c>
      <c r="L113" s="24">
        <f t="shared" si="35"/>
        <v>4000</v>
      </c>
      <c r="M113" s="24">
        <f t="shared" si="36"/>
        <v>0</v>
      </c>
      <c r="N113" s="24">
        <f t="shared" si="37"/>
        <v>2500</v>
      </c>
      <c r="O113" s="24">
        <v>26150</v>
      </c>
      <c r="P113" s="24">
        <v>11330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f t="shared" si="38"/>
        <v>57980</v>
      </c>
      <c r="AA113" s="24">
        <v>25000</v>
      </c>
      <c r="AB113" s="20">
        <f t="shared" si="39"/>
        <v>32980</v>
      </c>
      <c r="AC113" s="24" t="str">
        <f t="shared" si="30"/>
        <v/>
      </c>
      <c r="AD113" s="24" t="str">
        <f t="shared" si="31"/>
        <v/>
      </c>
      <c r="AE113" s="24" t="str">
        <f t="shared" si="32"/>
        <v/>
      </c>
      <c r="AF113" s="25" t="s">
        <v>318</v>
      </c>
    </row>
    <row r="114" spans="1:32" x14ac:dyDescent="0.25">
      <c r="A114" s="22" t="s">
        <v>384</v>
      </c>
      <c r="B114" s="22" t="s">
        <v>385</v>
      </c>
      <c r="C114" s="22" t="s">
        <v>47</v>
      </c>
      <c r="D114" s="23">
        <v>0</v>
      </c>
      <c r="E114" s="24">
        <v>2000</v>
      </c>
      <c r="F114" s="24">
        <v>26000</v>
      </c>
      <c r="G114" s="24">
        <v>4000</v>
      </c>
      <c r="H114" s="24">
        <v>1000</v>
      </c>
      <c r="I114" s="24">
        <v>0</v>
      </c>
      <c r="J114" s="24">
        <f t="shared" si="33"/>
        <v>2000</v>
      </c>
      <c r="K114" s="24">
        <f t="shared" si="34"/>
        <v>26000</v>
      </c>
      <c r="L114" s="24">
        <f t="shared" si="35"/>
        <v>4000</v>
      </c>
      <c r="M114" s="24">
        <f t="shared" si="36"/>
        <v>1000</v>
      </c>
      <c r="N114" s="24">
        <f t="shared" si="37"/>
        <v>0</v>
      </c>
      <c r="O114" s="24">
        <v>24930</v>
      </c>
      <c r="P114" s="24">
        <v>10730</v>
      </c>
      <c r="Q114" s="24">
        <v>16000</v>
      </c>
      <c r="R114" s="24">
        <v>8000</v>
      </c>
      <c r="S114" s="24">
        <v>7000</v>
      </c>
      <c r="T114" s="24">
        <v>6000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f t="shared" si="38"/>
        <v>105660</v>
      </c>
      <c r="AA114" s="24">
        <v>80000</v>
      </c>
      <c r="AB114" s="20">
        <f t="shared" si="39"/>
        <v>25660</v>
      </c>
      <c r="AC114" s="24" t="str">
        <f t="shared" si="30"/>
        <v/>
      </c>
      <c r="AD114" s="24" t="str">
        <f t="shared" si="31"/>
        <v/>
      </c>
      <c r="AE114" s="24" t="str">
        <f t="shared" si="32"/>
        <v/>
      </c>
      <c r="AF114" s="25" t="s">
        <v>318</v>
      </c>
    </row>
    <row r="115" spans="1:32" x14ac:dyDescent="0.25">
      <c r="A115" s="22" t="s">
        <v>110</v>
      </c>
      <c r="B115" s="22" t="s">
        <v>111</v>
      </c>
      <c r="C115" s="22" t="s">
        <v>66</v>
      </c>
      <c r="D115" s="23">
        <v>0.5</v>
      </c>
      <c r="E115" s="24">
        <v>0</v>
      </c>
      <c r="F115" s="24">
        <v>33000</v>
      </c>
      <c r="G115" s="24">
        <v>5000</v>
      </c>
      <c r="H115" s="24">
        <v>2000</v>
      </c>
      <c r="I115" s="24">
        <v>6000</v>
      </c>
      <c r="J115" s="24">
        <f t="shared" si="33"/>
        <v>0</v>
      </c>
      <c r="K115" s="24">
        <f t="shared" si="34"/>
        <v>16500</v>
      </c>
      <c r="L115" s="24">
        <f t="shared" si="35"/>
        <v>5000</v>
      </c>
      <c r="M115" s="24">
        <f t="shared" si="36"/>
        <v>1000</v>
      </c>
      <c r="N115" s="24">
        <f t="shared" si="37"/>
        <v>3000</v>
      </c>
      <c r="O115" s="24">
        <v>22400</v>
      </c>
      <c r="P115" s="24">
        <v>14330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-3145</v>
      </c>
      <c r="Z115" s="24">
        <f t="shared" si="38"/>
        <v>59085</v>
      </c>
      <c r="AA115" s="24">
        <v>30000</v>
      </c>
      <c r="AB115" s="20">
        <f t="shared" si="39"/>
        <v>29085</v>
      </c>
      <c r="AC115" s="24" t="str">
        <f t="shared" si="30"/>
        <v/>
      </c>
      <c r="AD115" s="24" t="str">
        <f t="shared" si="31"/>
        <v/>
      </c>
      <c r="AE115" s="24" t="str">
        <f t="shared" si="32"/>
        <v/>
      </c>
      <c r="AF115" s="25" t="s">
        <v>318</v>
      </c>
    </row>
    <row r="116" spans="1:32" x14ac:dyDescent="0.25">
      <c r="A116" s="22" t="s">
        <v>112</v>
      </c>
      <c r="B116" s="22" t="s">
        <v>113</v>
      </c>
      <c r="C116" s="22" t="s">
        <v>44</v>
      </c>
      <c r="D116" s="23">
        <v>0.25</v>
      </c>
      <c r="E116" s="24">
        <v>0</v>
      </c>
      <c r="F116" s="24">
        <v>26000</v>
      </c>
      <c r="G116" s="24">
        <v>4000</v>
      </c>
      <c r="H116" s="24">
        <v>0</v>
      </c>
      <c r="I116" s="24">
        <v>0</v>
      </c>
      <c r="J116" s="24">
        <f t="shared" si="33"/>
        <v>0</v>
      </c>
      <c r="K116" s="24">
        <f t="shared" si="34"/>
        <v>19500</v>
      </c>
      <c r="L116" s="24">
        <f t="shared" si="35"/>
        <v>4000</v>
      </c>
      <c r="M116" s="24">
        <f t="shared" si="36"/>
        <v>0</v>
      </c>
      <c r="N116" s="24">
        <f t="shared" si="37"/>
        <v>0</v>
      </c>
      <c r="O116" s="24">
        <v>13380</v>
      </c>
      <c r="P116" s="24">
        <v>5300</v>
      </c>
      <c r="Q116" s="24">
        <v>8000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f t="shared" si="38"/>
        <v>50180</v>
      </c>
      <c r="AA116" s="24">
        <v>27120</v>
      </c>
      <c r="AB116" s="20">
        <f t="shared" si="39"/>
        <v>23060</v>
      </c>
      <c r="AC116" s="24" t="str">
        <f t="shared" si="30"/>
        <v/>
      </c>
      <c r="AD116" s="24" t="str">
        <f t="shared" si="31"/>
        <v/>
      </c>
      <c r="AE116" s="24" t="str">
        <f t="shared" si="32"/>
        <v/>
      </c>
      <c r="AF116" s="25" t="s">
        <v>318</v>
      </c>
    </row>
    <row r="117" spans="1:32" x14ac:dyDescent="0.25">
      <c r="A117" s="22" t="s">
        <v>112</v>
      </c>
      <c r="B117" s="22" t="s">
        <v>114</v>
      </c>
      <c r="C117" s="22" t="s">
        <v>46</v>
      </c>
      <c r="D117" s="23">
        <v>0.25</v>
      </c>
      <c r="E117" s="24">
        <v>0</v>
      </c>
      <c r="F117" s="24">
        <v>28000</v>
      </c>
      <c r="G117" s="24">
        <v>4000</v>
      </c>
      <c r="H117" s="24">
        <v>0</v>
      </c>
      <c r="I117" s="24">
        <v>5000</v>
      </c>
      <c r="J117" s="24">
        <f t="shared" si="33"/>
        <v>0</v>
      </c>
      <c r="K117" s="24">
        <f t="shared" si="34"/>
        <v>21000</v>
      </c>
      <c r="L117" s="24">
        <f t="shared" si="35"/>
        <v>4000</v>
      </c>
      <c r="M117" s="24">
        <f t="shared" si="36"/>
        <v>0</v>
      </c>
      <c r="N117" s="24">
        <f t="shared" si="37"/>
        <v>3750</v>
      </c>
      <c r="O117" s="24">
        <v>27310</v>
      </c>
      <c r="P117" s="24">
        <v>8250</v>
      </c>
      <c r="Q117" s="24">
        <v>8000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f t="shared" si="38"/>
        <v>72310</v>
      </c>
      <c r="AA117" s="24">
        <v>27120</v>
      </c>
      <c r="AB117" s="20">
        <f t="shared" si="39"/>
        <v>45190</v>
      </c>
      <c r="AC117" s="24" t="str">
        <f t="shared" si="30"/>
        <v/>
      </c>
      <c r="AD117" s="24" t="str">
        <f t="shared" si="31"/>
        <v/>
      </c>
      <c r="AE117" s="24" t="str">
        <f t="shared" si="32"/>
        <v/>
      </c>
      <c r="AF117" s="25" t="s">
        <v>318</v>
      </c>
    </row>
    <row r="118" spans="1:32" x14ac:dyDescent="0.25">
      <c r="A118" s="22" t="s">
        <v>191</v>
      </c>
      <c r="B118" s="22" t="s">
        <v>31</v>
      </c>
      <c r="C118" s="22" t="s">
        <v>47</v>
      </c>
      <c r="D118" s="23">
        <v>0.25</v>
      </c>
      <c r="E118" s="24">
        <v>0</v>
      </c>
      <c r="F118" s="24">
        <v>26000</v>
      </c>
      <c r="G118" s="24">
        <v>4000</v>
      </c>
      <c r="H118" s="24">
        <v>0</v>
      </c>
      <c r="I118" s="24">
        <v>0</v>
      </c>
      <c r="J118" s="24">
        <f t="shared" si="33"/>
        <v>0</v>
      </c>
      <c r="K118" s="24">
        <f t="shared" si="34"/>
        <v>19500</v>
      </c>
      <c r="L118" s="24">
        <f t="shared" si="35"/>
        <v>4000</v>
      </c>
      <c r="M118" s="24">
        <f t="shared" si="36"/>
        <v>0</v>
      </c>
      <c r="N118" s="24">
        <f t="shared" si="37"/>
        <v>0</v>
      </c>
      <c r="O118" s="24">
        <v>24930</v>
      </c>
      <c r="P118" s="24">
        <v>10730</v>
      </c>
      <c r="Q118" s="24">
        <v>0</v>
      </c>
      <c r="R118" s="24">
        <v>0</v>
      </c>
      <c r="S118" s="24">
        <v>0</v>
      </c>
      <c r="T118" s="24">
        <v>6000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f t="shared" si="38"/>
        <v>65160</v>
      </c>
      <c r="AA118" s="24">
        <v>0</v>
      </c>
      <c r="AB118" s="20">
        <f t="shared" si="39"/>
        <v>65160</v>
      </c>
      <c r="AC118" s="24" t="str">
        <f t="shared" si="30"/>
        <v/>
      </c>
      <c r="AD118" s="24" t="str">
        <f t="shared" si="31"/>
        <v/>
      </c>
      <c r="AE118" s="24" t="str">
        <f t="shared" si="32"/>
        <v/>
      </c>
      <c r="AF118" s="25" t="s">
        <v>318</v>
      </c>
    </row>
    <row r="119" spans="1:32" x14ac:dyDescent="0.25">
      <c r="A119" s="22" t="s">
        <v>191</v>
      </c>
      <c r="B119" s="22" t="s">
        <v>32</v>
      </c>
      <c r="C119" s="22" t="s">
        <v>46</v>
      </c>
      <c r="D119" s="23">
        <v>0.25</v>
      </c>
      <c r="E119" s="24">
        <v>0</v>
      </c>
      <c r="F119" s="24">
        <v>28000</v>
      </c>
      <c r="G119" s="24">
        <v>4000</v>
      </c>
      <c r="H119" s="24">
        <v>0</v>
      </c>
      <c r="I119" s="24">
        <v>5000</v>
      </c>
      <c r="J119" s="24">
        <f t="shared" si="33"/>
        <v>0</v>
      </c>
      <c r="K119" s="24">
        <f t="shared" si="34"/>
        <v>21000</v>
      </c>
      <c r="L119" s="24">
        <f t="shared" si="35"/>
        <v>4000</v>
      </c>
      <c r="M119" s="24">
        <f t="shared" si="36"/>
        <v>0</v>
      </c>
      <c r="N119" s="24">
        <f t="shared" si="37"/>
        <v>3750</v>
      </c>
      <c r="O119" s="24">
        <v>27310</v>
      </c>
      <c r="P119" s="24">
        <v>13230</v>
      </c>
      <c r="Q119" s="24">
        <v>0</v>
      </c>
      <c r="R119" s="24">
        <v>0</v>
      </c>
      <c r="S119" s="24">
        <v>0</v>
      </c>
      <c r="T119" s="24">
        <v>6000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f t="shared" si="38"/>
        <v>75290</v>
      </c>
      <c r="AA119" s="24">
        <v>0</v>
      </c>
      <c r="AB119" s="20">
        <f t="shared" si="39"/>
        <v>75290</v>
      </c>
      <c r="AC119" s="24" t="str">
        <f t="shared" si="30"/>
        <v/>
      </c>
      <c r="AD119" s="24" t="str">
        <f t="shared" si="31"/>
        <v/>
      </c>
      <c r="AE119" s="24" t="str">
        <f t="shared" si="32"/>
        <v/>
      </c>
      <c r="AF119" s="25" t="s">
        <v>318</v>
      </c>
    </row>
    <row r="120" spans="1:32" x14ac:dyDescent="0.25">
      <c r="A120" s="22" t="s">
        <v>115</v>
      </c>
      <c r="B120" s="22" t="s">
        <v>235</v>
      </c>
      <c r="C120" s="22" t="s">
        <v>245</v>
      </c>
      <c r="D120" s="23">
        <v>0.25</v>
      </c>
      <c r="E120" s="24">
        <v>0</v>
      </c>
      <c r="F120" s="24">
        <v>26000</v>
      </c>
      <c r="G120" s="24">
        <v>2000</v>
      </c>
      <c r="H120" s="24">
        <v>0</v>
      </c>
      <c r="I120" s="24">
        <v>0</v>
      </c>
      <c r="J120" s="24">
        <f t="shared" si="33"/>
        <v>0</v>
      </c>
      <c r="K120" s="24">
        <f t="shared" si="34"/>
        <v>19500</v>
      </c>
      <c r="L120" s="24">
        <f t="shared" si="35"/>
        <v>2000</v>
      </c>
      <c r="M120" s="24">
        <f t="shared" si="36"/>
        <v>0</v>
      </c>
      <c r="N120" s="24">
        <f t="shared" si="37"/>
        <v>0</v>
      </c>
      <c r="O120" s="24">
        <v>0</v>
      </c>
      <c r="P120" s="24">
        <v>3050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f t="shared" si="38"/>
        <v>24550</v>
      </c>
      <c r="AA120" s="24">
        <v>24550</v>
      </c>
      <c r="AB120" s="20">
        <f t="shared" si="39"/>
        <v>0</v>
      </c>
      <c r="AC120" s="24" t="str">
        <f t="shared" si="30"/>
        <v/>
      </c>
      <c r="AD120" s="24" t="str">
        <f t="shared" si="31"/>
        <v/>
      </c>
      <c r="AE120" s="24" t="str">
        <f t="shared" si="32"/>
        <v/>
      </c>
      <c r="AF120" s="25" t="s">
        <v>318</v>
      </c>
    </row>
    <row r="121" spans="1:32" x14ac:dyDescent="0.25">
      <c r="A121" s="22" t="s">
        <v>115</v>
      </c>
      <c r="B121" s="22" t="s">
        <v>116</v>
      </c>
      <c r="C121" s="22" t="s">
        <v>47</v>
      </c>
      <c r="D121" s="23">
        <v>0.25</v>
      </c>
      <c r="E121" s="24">
        <v>0</v>
      </c>
      <c r="F121" s="24">
        <v>26000</v>
      </c>
      <c r="G121" s="24">
        <v>4000</v>
      </c>
      <c r="H121" s="24">
        <v>0</v>
      </c>
      <c r="I121" s="24">
        <v>0</v>
      </c>
      <c r="J121" s="24">
        <f t="shared" si="33"/>
        <v>0</v>
      </c>
      <c r="K121" s="24">
        <f t="shared" si="34"/>
        <v>19500</v>
      </c>
      <c r="L121" s="24">
        <f t="shared" si="35"/>
        <v>4000</v>
      </c>
      <c r="M121" s="24">
        <f t="shared" si="36"/>
        <v>0</v>
      </c>
      <c r="N121" s="24">
        <f t="shared" si="37"/>
        <v>0</v>
      </c>
      <c r="O121" s="24">
        <v>24930</v>
      </c>
      <c r="P121" s="24">
        <v>10730</v>
      </c>
      <c r="Q121" s="24">
        <v>16000</v>
      </c>
      <c r="R121" s="24">
        <v>0</v>
      </c>
      <c r="S121" s="24">
        <v>0</v>
      </c>
      <c r="T121" s="24">
        <v>6000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f t="shared" si="38"/>
        <v>81160</v>
      </c>
      <c r="AA121" s="24">
        <v>25450</v>
      </c>
      <c r="AB121" s="20">
        <f t="shared" si="39"/>
        <v>55710</v>
      </c>
      <c r="AC121" s="24" t="str">
        <f t="shared" si="30"/>
        <v/>
      </c>
      <c r="AD121" s="24" t="str">
        <f t="shared" si="31"/>
        <v/>
      </c>
      <c r="AE121" s="24" t="str">
        <f t="shared" si="32"/>
        <v/>
      </c>
      <c r="AF121" s="25" t="s">
        <v>318</v>
      </c>
    </row>
    <row r="122" spans="1:32" x14ac:dyDescent="0.25">
      <c r="A122" s="22" t="s">
        <v>351</v>
      </c>
      <c r="B122" s="22" t="s">
        <v>352</v>
      </c>
      <c r="C122" s="22" t="s">
        <v>245</v>
      </c>
      <c r="D122" s="23">
        <v>0</v>
      </c>
      <c r="E122" s="24">
        <v>2000</v>
      </c>
      <c r="F122" s="24">
        <v>26000</v>
      </c>
      <c r="G122" s="24">
        <v>2000</v>
      </c>
      <c r="H122" s="24">
        <v>0</v>
      </c>
      <c r="I122" s="24">
        <v>0</v>
      </c>
      <c r="J122" s="24">
        <f t="shared" si="33"/>
        <v>2000</v>
      </c>
      <c r="K122" s="24">
        <f t="shared" si="34"/>
        <v>26000</v>
      </c>
      <c r="L122" s="24">
        <f t="shared" si="35"/>
        <v>2000</v>
      </c>
      <c r="M122" s="24">
        <f t="shared" si="36"/>
        <v>0</v>
      </c>
      <c r="N122" s="24">
        <f t="shared" si="37"/>
        <v>0</v>
      </c>
      <c r="O122" s="24">
        <v>0</v>
      </c>
      <c r="P122" s="24">
        <v>3050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f t="shared" si="38"/>
        <v>33050</v>
      </c>
      <c r="AA122" s="24">
        <v>36050</v>
      </c>
      <c r="AB122" s="20">
        <f t="shared" si="39"/>
        <v>-3000</v>
      </c>
      <c r="AC122" s="24" t="str">
        <f t="shared" si="30"/>
        <v/>
      </c>
      <c r="AD122" s="24" t="str">
        <f t="shared" si="31"/>
        <v/>
      </c>
      <c r="AE122" s="24" t="str">
        <f t="shared" si="32"/>
        <v/>
      </c>
      <c r="AF122" s="24"/>
    </row>
    <row r="123" spans="1:32" x14ac:dyDescent="0.25">
      <c r="A123" s="22" t="s">
        <v>117</v>
      </c>
      <c r="B123" s="22" t="s">
        <v>118</v>
      </c>
      <c r="C123" s="22" t="s">
        <v>47</v>
      </c>
      <c r="D123" s="23">
        <v>0</v>
      </c>
      <c r="E123" s="24">
        <v>0</v>
      </c>
      <c r="F123" s="24">
        <v>26000</v>
      </c>
      <c r="G123" s="24">
        <v>4000</v>
      </c>
      <c r="H123" s="24">
        <v>0</v>
      </c>
      <c r="I123" s="24">
        <v>0</v>
      </c>
      <c r="J123" s="24">
        <f t="shared" si="33"/>
        <v>0</v>
      </c>
      <c r="K123" s="24">
        <f t="shared" si="34"/>
        <v>26000</v>
      </c>
      <c r="L123" s="24">
        <f t="shared" si="35"/>
        <v>4000</v>
      </c>
      <c r="M123" s="24">
        <f t="shared" si="36"/>
        <v>0</v>
      </c>
      <c r="N123" s="24">
        <f t="shared" si="37"/>
        <v>0</v>
      </c>
      <c r="O123" s="24">
        <v>24930</v>
      </c>
      <c r="P123" s="24">
        <v>10730</v>
      </c>
      <c r="Q123" s="24">
        <v>0</v>
      </c>
      <c r="R123" s="24">
        <v>0</v>
      </c>
      <c r="S123" s="24">
        <v>0</v>
      </c>
      <c r="T123" s="24">
        <v>6000</v>
      </c>
      <c r="U123" s="24">
        <v>0</v>
      </c>
      <c r="V123" s="24">
        <v>0</v>
      </c>
      <c r="W123" s="24">
        <v>0</v>
      </c>
      <c r="X123" s="24">
        <v>0</v>
      </c>
      <c r="Y123" s="24">
        <v>14240</v>
      </c>
      <c r="Z123" s="24">
        <f t="shared" si="38"/>
        <v>85900</v>
      </c>
      <c r="AA123" s="24">
        <v>50000</v>
      </c>
      <c r="AB123" s="20">
        <f t="shared" si="39"/>
        <v>35900</v>
      </c>
      <c r="AC123" s="24" t="str">
        <f t="shared" si="30"/>
        <v/>
      </c>
      <c r="AD123" s="24" t="str">
        <f t="shared" si="31"/>
        <v/>
      </c>
      <c r="AE123" s="24" t="str">
        <f t="shared" si="32"/>
        <v/>
      </c>
      <c r="AF123" s="25" t="s">
        <v>318</v>
      </c>
    </row>
    <row r="124" spans="1:32" x14ac:dyDescent="0.25">
      <c r="A124" s="22" t="s">
        <v>119</v>
      </c>
      <c r="B124" s="22" t="s">
        <v>122</v>
      </c>
      <c r="C124" s="22" t="s">
        <v>44</v>
      </c>
      <c r="D124" s="23">
        <v>0.25</v>
      </c>
      <c r="E124" s="24">
        <v>0</v>
      </c>
      <c r="F124" s="24">
        <v>26000</v>
      </c>
      <c r="G124" s="24">
        <v>4000</v>
      </c>
      <c r="H124" s="24">
        <v>0</v>
      </c>
      <c r="I124" s="24">
        <v>0</v>
      </c>
      <c r="J124" s="24">
        <f t="shared" si="33"/>
        <v>0</v>
      </c>
      <c r="K124" s="24">
        <f t="shared" si="34"/>
        <v>19500</v>
      </c>
      <c r="L124" s="24">
        <f t="shared" si="35"/>
        <v>4000</v>
      </c>
      <c r="M124" s="24">
        <f t="shared" si="36"/>
        <v>0</v>
      </c>
      <c r="N124" s="24">
        <f t="shared" si="37"/>
        <v>0</v>
      </c>
      <c r="O124" s="24">
        <v>13380</v>
      </c>
      <c r="P124" s="24">
        <v>7550</v>
      </c>
      <c r="Q124" s="24">
        <v>0</v>
      </c>
      <c r="R124" s="24">
        <v>0</v>
      </c>
      <c r="S124" s="24">
        <v>0</v>
      </c>
      <c r="T124" s="24">
        <v>6000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f t="shared" si="38"/>
        <v>50430</v>
      </c>
      <c r="AA124" s="24">
        <v>44430</v>
      </c>
      <c r="AB124" s="20">
        <f t="shared" si="39"/>
        <v>6000</v>
      </c>
      <c r="AC124" s="24" t="str">
        <f t="shared" si="30"/>
        <v/>
      </c>
      <c r="AD124" s="24" t="str">
        <f t="shared" si="31"/>
        <v/>
      </c>
      <c r="AE124" s="24" t="str">
        <f t="shared" si="32"/>
        <v/>
      </c>
      <c r="AF124" s="25" t="s">
        <v>318</v>
      </c>
    </row>
    <row r="125" spans="1:32" x14ac:dyDescent="0.25">
      <c r="A125" s="22" t="s">
        <v>119</v>
      </c>
      <c r="B125" s="22" t="s">
        <v>121</v>
      </c>
      <c r="C125" s="22" t="s">
        <v>48</v>
      </c>
      <c r="D125" s="23">
        <v>0.25</v>
      </c>
      <c r="E125" s="24">
        <v>0</v>
      </c>
      <c r="F125" s="24">
        <v>28000</v>
      </c>
      <c r="G125" s="24">
        <v>4000</v>
      </c>
      <c r="H125" s="24">
        <v>0</v>
      </c>
      <c r="I125" s="24">
        <v>5000</v>
      </c>
      <c r="J125" s="24">
        <f t="shared" si="33"/>
        <v>0</v>
      </c>
      <c r="K125" s="24">
        <f t="shared" si="34"/>
        <v>21000</v>
      </c>
      <c r="L125" s="24">
        <f t="shared" si="35"/>
        <v>4000</v>
      </c>
      <c r="M125" s="24">
        <f t="shared" si="36"/>
        <v>0</v>
      </c>
      <c r="N125" s="24">
        <f t="shared" si="37"/>
        <v>3750</v>
      </c>
      <c r="O125" s="24">
        <v>26150</v>
      </c>
      <c r="P125" s="24">
        <v>11330</v>
      </c>
      <c r="Q125" s="24">
        <v>0</v>
      </c>
      <c r="R125" s="24">
        <v>0</v>
      </c>
      <c r="S125" s="24">
        <v>0</v>
      </c>
      <c r="T125" s="24">
        <v>6000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f t="shared" si="38"/>
        <v>72230</v>
      </c>
      <c r="AA125" s="24">
        <v>55570</v>
      </c>
      <c r="AB125" s="20">
        <f t="shared" si="39"/>
        <v>16660</v>
      </c>
      <c r="AC125" s="24" t="str">
        <f t="shared" si="30"/>
        <v/>
      </c>
      <c r="AD125" s="24" t="str">
        <f t="shared" si="31"/>
        <v/>
      </c>
      <c r="AE125" s="24" t="str">
        <f t="shared" si="32"/>
        <v/>
      </c>
      <c r="AF125" s="25" t="s">
        <v>318</v>
      </c>
    </row>
    <row r="126" spans="1:32" x14ac:dyDescent="0.25">
      <c r="A126" s="22" t="s">
        <v>119</v>
      </c>
      <c r="B126" s="22" t="s">
        <v>123</v>
      </c>
      <c r="C126" s="22" t="s">
        <v>241</v>
      </c>
      <c r="D126" s="23">
        <v>0.25</v>
      </c>
      <c r="E126" s="24">
        <v>0</v>
      </c>
      <c r="F126" s="24">
        <v>28000</v>
      </c>
      <c r="G126" s="24">
        <v>4000</v>
      </c>
      <c r="H126" s="24">
        <v>0</v>
      </c>
      <c r="I126" s="24">
        <v>5000</v>
      </c>
      <c r="J126" s="24">
        <f t="shared" si="33"/>
        <v>0</v>
      </c>
      <c r="K126" s="24">
        <f t="shared" si="34"/>
        <v>21000</v>
      </c>
      <c r="L126" s="24">
        <f t="shared" si="35"/>
        <v>4000</v>
      </c>
      <c r="M126" s="24">
        <f t="shared" si="36"/>
        <v>0</v>
      </c>
      <c r="N126" s="24">
        <f t="shared" si="37"/>
        <v>3750</v>
      </c>
      <c r="O126" s="24">
        <v>28790</v>
      </c>
      <c r="P126" s="24">
        <v>13230</v>
      </c>
      <c r="Q126" s="24">
        <v>0</v>
      </c>
      <c r="R126" s="24">
        <v>0</v>
      </c>
      <c r="S126" s="24">
        <v>0</v>
      </c>
      <c r="T126" s="24">
        <v>6000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f t="shared" si="38"/>
        <v>76770</v>
      </c>
      <c r="AA126" s="24">
        <v>35000</v>
      </c>
      <c r="AB126" s="20">
        <f t="shared" si="39"/>
        <v>41770</v>
      </c>
      <c r="AC126" s="24" t="str">
        <f t="shared" si="30"/>
        <v/>
      </c>
      <c r="AD126" s="24" t="str">
        <f t="shared" si="31"/>
        <v/>
      </c>
      <c r="AE126" s="24" t="str">
        <f t="shared" si="32"/>
        <v/>
      </c>
      <c r="AF126" s="25" t="s">
        <v>318</v>
      </c>
    </row>
    <row r="127" spans="1:32" x14ac:dyDescent="0.25">
      <c r="A127" s="22" t="s">
        <v>119</v>
      </c>
      <c r="B127" s="22" t="s">
        <v>120</v>
      </c>
      <c r="C127" s="22" t="s">
        <v>69</v>
      </c>
      <c r="D127" s="23">
        <v>0.25</v>
      </c>
      <c r="E127" s="24">
        <v>0</v>
      </c>
      <c r="F127" s="24">
        <v>40000</v>
      </c>
      <c r="G127" s="24">
        <v>5000</v>
      </c>
      <c r="H127" s="24">
        <v>2000</v>
      </c>
      <c r="I127" s="24">
        <v>8000</v>
      </c>
      <c r="J127" s="24">
        <f t="shared" si="33"/>
        <v>0</v>
      </c>
      <c r="K127" s="24">
        <f t="shared" si="34"/>
        <v>30000</v>
      </c>
      <c r="L127" s="24">
        <f t="shared" si="35"/>
        <v>5000</v>
      </c>
      <c r="M127" s="24">
        <f t="shared" si="36"/>
        <v>1500</v>
      </c>
      <c r="N127" s="24">
        <f t="shared" si="37"/>
        <v>6000</v>
      </c>
      <c r="O127" s="24">
        <v>11880</v>
      </c>
      <c r="P127" s="24">
        <f>14330-5700</f>
        <v>8630</v>
      </c>
      <c r="Q127" s="24">
        <v>0</v>
      </c>
      <c r="R127" s="24">
        <v>0</v>
      </c>
      <c r="S127" s="24">
        <v>0</v>
      </c>
      <c r="T127" s="24">
        <v>8000</v>
      </c>
      <c r="U127" s="24">
        <v>0</v>
      </c>
      <c r="V127" s="24">
        <v>0</v>
      </c>
      <c r="W127" s="24">
        <v>0</v>
      </c>
      <c r="X127" s="24">
        <v>0</v>
      </c>
      <c r="Y127" s="24">
        <v>2660</v>
      </c>
      <c r="Z127" s="24">
        <f t="shared" si="38"/>
        <v>73670</v>
      </c>
      <c r="AA127" s="24">
        <v>35000</v>
      </c>
      <c r="AB127" s="20">
        <f t="shared" si="39"/>
        <v>38670</v>
      </c>
      <c r="AC127" s="24" t="str">
        <f t="shared" si="30"/>
        <v/>
      </c>
      <c r="AD127" s="24" t="str">
        <f t="shared" si="31"/>
        <v/>
      </c>
      <c r="AE127" s="24" t="str">
        <f t="shared" si="32"/>
        <v/>
      </c>
      <c r="AF127" s="25" t="s">
        <v>318</v>
      </c>
    </row>
    <row r="128" spans="1:32" x14ac:dyDescent="0.25">
      <c r="A128" s="22" t="s">
        <v>177</v>
      </c>
      <c r="B128" s="22" t="s">
        <v>182</v>
      </c>
      <c r="C128" s="22" t="s">
        <v>30</v>
      </c>
      <c r="D128" s="23">
        <v>0.25</v>
      </c>
      <c r="E128" s="24">
        <v>0</v>
      </c>
      <c r="F128" s="24">
        <v>26000</v>
      </c>
      <c r="G128" s="24">
        <v>4000</v>
      </c>
      <c r="H128" s="24">
        <v>1000</v>
      </c>
      <c r="I128" s="24">
        <v>0</v>
      </c>
      <c r="J128" s="24">
        <f t="shared" si="33"/>
        <v>0</v>
      </c>
      <c r="K128" s="24">
        <f t="shared" si="34"/>
        <v>19500</v>
      </c>
      <c r="L128" s="24">
        <f t="shared" si="35"/>
        <v>4000</v>
      </c>
      <c r="M128" s="24">
        <f t="shared" si="36"/>
        <v>750</v>
      </c>
      <c r="N128" s="24">
        <f t="shared" si="37"/>
        <v>0</v>
      </c>
      <c r="O128" s="24">
        <v>12480</v>
      </c>
      <c r="P128" s="24">
        <v>7550</v>
      </c>
      <c r="Q128" s="24">
        <v>0</v>
      </c>
      <c r="R128" s="24">
        <v>0</v>
      </c>
      <c r="S128" s="24">
        <v>0</v>
      </c>
      <c r="T128" s="24">
        <v>6000</v>
      </c>
      <c r="U128" s="24">
        <v>0</v>
      </c>
      <c r="V128" s="24">
        <v>0</v>
      </c>
      <c r="W128" s="24">
        <v>0</v>
      </c>
      <c r="X128" s="24">
        <v>0</v>
      </c>
      <c r="Y128" s="24">
        <v>1250</v>
      </c>
      <c r="Z128" s="24">
        <f t="shared" si="38"/>
        <v>51530</v>
      </c>
      <c r="AA128" s="24">
        <v>10000</v>
      </c>
      <c r="AB128" s="20">
        <f t="shared" si="39"/>
        <v>41530</v>
      </c>
      <c r="AC128" s="24" t="str">
        <f t="shared" si="30"/>
        <v/>
      </c>
      <c r="AD128" s="24" t="str">
        <f t="shared" si="31"/>
        <v/>
      </c>
      <c r="AE128" s="24" t="str">
        <f t="shared" si="32"/>
        <v/>
      </c>
      <c r="AF128" s="25" t="s">
        <v>318</v>
      </c>
    </row>
    <row r="129" spans="1:32" x14ac:dyDescent="0.25">
      <c r="A129" s="22" t="s">
        <v>177</v>
      </c>
      <c r="B129" s="22" t="s">
        <v>178</v>
      </c>
      <c r="C129" s="22" t="s">
        <v>33</v>
      </c>
      <c r="D129" s="23">
        <v>0.25</v>
      </c>
      <c r="E129" s="24">
        <v>0</v>
      </c>
      <c r="F129" s="24">
        <v>28000</v>
      </c>
      <c r="G129" s="24">
        <v>4000</v>
      </c>
      <c r="H129" s="24">
        <v>2500</v>
      </c>
      <c r="I129" s="24">
        <v>5000</v>
      </c>
      <c r="J129" s="24">
        <f t="shared" si="33"/>
        <v>0</v>
      </c>
      <c r="K129" s="24">
        <f t="shared" si="34"/>
        <v>21000</v>
      </c>
      <c r="L129" s="24">
        <f t="shared" si="35"/>
        <v>4000</v>
      </c>
      <c r="M129" s="24">
        <f t="shared" si="36"/>
        <v>1875</v>
      </c>
      <c r="N129" s="24">
        <f t="shared" si="37"/>
        <v>3750</v>
      </c>
      <c r="O129" s="24">
        <v>25970</v>
      </c>
      <c r="P129" s="24">
        <v>11330</v>
      </c>
      <c r="Q129" s="24">
        <v>0</v>
      </c>
      <c r="R129" s="24">
        <v>0</v>
      </c>
      <c r="S129" s="24">
        <v>0</v>
      </c>
      <c r="T129" s="24">
        <v>6000</v>
      </c>
      <c r="U129" s="24">
        <v>0</v>
      </c>
      <c r="V129" s="24">
        <v>0</v>
      </c>
      <c r="W129" s="24">
        <v>0</v>
      </c>
      <c r="X129" s="24">
        <v>0</v>
      </c>
      <c r="Y129" s="24">
        <v>9500</v>
      </c>
      <c r="Z129" s="24">
        <f t="shared" si="38"/>
        <v>83425</v>
      </c>
      <c r="AA129" s="24">
        <v>20000</v>
      </c>
      <c r="AB129" s="20">
        <f t="shared" si="39"/>
        <v>63425</v>
      </c>
      <c r="AC129" s="24" t="str">
        <f t="shared" si="30"/>
        <v/>
      </c>
      <c r="AD129" s="24" t="str">
        <f t="shared" si="31"/>
        <v/>
      </c>
      <c r="AE129" s="24" t="str">
        <f t="shared" si="32"/>
        <v/>
      </c>
      <c r="AF129" s="25" t="s">
        <v>318</v>
      </c>
    </row>
    <row r="130" spans="1:32" x14ac:dyDescent="0.25">
      <c r="A130" s="22" t="s">
        <v>177</v>
      </c>
      <c r="B130" s="22" t="s">
        <v>179</v>
      </c>
      <c r="C130" s="22" t="s">
        <v>58</v>
      </c>
      <c r="D130" s="23">
        <v>0.25</v>
      </c>
      <c r="E130" s="24">
        <v>0</v>
      </c>
      <c r="F130" s="24">
        <v>28000</v>
      </c>
      <c r="G130" s="24">
        <v>4000</v>
      </c>
      <c r="H130" s="24">
        <v>0</v>
      </c>
      <c r="I130" s="24">
        <v>5000</v>
      </c>
      <c r="J130" s="24">
        <f t="shared" ref="J130:J136" si="40">(1-$D130)*E130</f>
        <v>0</v>
      </c>
      <c r="K130" s="24">
        <f t="shared" ref="K130:K136" si="41">(1-$D130)*F130</f>
        <v>21000</v>
      </c>
      <c r="L130" s="24">
        <f t="shared" ref="L130:L136" si="42">G130</f>
        <v>4000</v>
      </c>
      <c r="M130" s="24">
        <f t="shared" ref="M130:M136" si="43">(1-$D130)*H130</f>
        <v>0</v>
      </c>
      <c r="N130" s="24">
        <f t="shared" ref="N130:N136" si="44">(1-$D130)*I130</f>
        <v>3750</v>
      </c>
      <c r="O130" s="24">
        <v>27330</v>
      </c>
      <c r="P130" s="24">
        <v>13230</v>
      </c>
      <c r="Q130" s="24">
        <v>0</v>
      </c>
      <c r="R130" s="24">
        <v>0</v>
      </c>
      <c r="S130" s="24">
        <v>0</v>
      </c>
      <c r="T130" s="24">
        <v>6000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f t="shared" ref="Z130:Z136" si="45">SUM(J130:Y130)</f>
        <v>75310</v>
      </c>
      <c r="AA130" s="24">
        <v>20000</v>
      </c>
      <c r="AB130" s="20">
        <f t="shared" ref="AB130:AB136" si="46">Z130-AA130</f>
        <v>55310</v>
      </c>
      <c r="AC130" s="24" t="str">
        <f t="shared" si="30"/>
        <v/>
      </c>
      <c r="AD130" s="24" t="str">
        <f t="shared" si="31"/>
        <v/>
      </c>
      <c r="AE130" s="24" t="str">
        <f t="shared" si="32"/>
        <v/>
      </c>
      <c r="AF130" s="25" t="s">
        <v>318</v>
      </c>
    </row>
    <row r="131" spans="1:32" x14ac:dyDescent="0.25">
      <c r="A131" s="22" t="s">
        <v>213</v>
      </c>
      <c r="B131" s="22" t="s">
        <v>214</v>
      </c>
      <c r="C131" s="22" t="s">
        <v>49</v>
      </c>
      <c r="D131" s="23">
        <v>0</v>
      </c>
      <c r="E131" s="24">
        <v>0</v>
      </c>
      <c r="F131" s="24">
        <v>26000</v>
      </c>
      <c r="G131" s="24">
        <v>4000</v>
      </c>
      <c r="H131" s="24">
        <v>1000</v>
      </c>
      <c r="I131" s="24">
        <v>0</v>
      </c>
      <c r="J131" s="24">
        <f t="shared" si="40"/>
        <v>0</v>
      </c>
      <c r="K131" s="24">
        <f t="shared" si="41"/>
        <v>26000</v>
      </c>
      <c r="L131" s="24">
        <f t="shared" si="42"/>
        <v>4000</v>
      </c>
      <c r="M131" s="24">
        <f t="shared" si="43"/>
        <v>1000</v>
      </c>
      <c r="N131" s="24">
        <f t="shared" si="44"/>
        <v>0</v>
      </c>
      <c r="O131" s="24">
        <v>6840</v>
      </c>
      <c r="P131" s="24">
        <v>5300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1000</v>
      </c>
      <c r="Z131" s="24">
        <f t="shared" si="45"/>
        <v>44140</v>
      </c>
      <c r="AA131" s="24">
        <v>44140</v>
      </c>
      <c r="AB131" s="20">
        <f t="shared" si="46"/>
        <v>0</v>
      </c>
      <c r="AC131" s="24" t="str">
        <f t="shared" si="30"/>
        <v/>
      </c>
      <c r="AD131" s="24" t="str">
        <f t="shared" si="31"/>
        <v/>
      </c>
      <c r="AE131" s="24" t="str">
        <f t="shared" si="32"/>
        <v/>
      </c>
      <c r="AF131" s="25" t="s">
        <v>318</v>
      </c>
    </row>
    <row r="132" spans="1:32" x14ac:dyDescent="0.25">
      <c r="A132" s="22" t="s">
        <v>124</v>
      </c>
      <c r="B132" s="22" t="s">
        <v>125</v>
      </c>
      <c r="C132" s="22" t="s">
        <v>66</v>
      </c>
      <c r="D132" s="23">
        <v>0</v>
      </c>
      <c r="E132" s="24">
        <v>0</v>
      </c>
      <c r="F132" s="24">
        <v>33000</v>
      </c>
      <c r="G132" s="24">
        <v>5000</v>
      </c>
      <c r="H132" s="24">
        <v>2000</v>
      </c>
      <c r="I132" s="24">
        <v>6000</v>
      </c>
      <c r="J132" s="24">
        <f t="shared" si="40"/>
        <v>0</v>
      </c>
      <c r="K132" s="24">
        <f t="shared" si="41"/>
        <v>33000</v>
      </c>
      <c r="L132" s="24">
        <f t="shared" si="42"/>
        <v>5000</v>
      </c>
      <c r="M132" s="24">
        <f t="shared" si="43"/>
        <v>2000</v>
      </c>
      <c r="N132" s="24">
        <f t="shared" si="44"/>
        <v>6000</v>
      </c>
      <c r="O132" s="24">
        <f>22400-11160</f>
        <v>11240</v>
      </c>
      <c r="P132" s="24">
        <f>14330-5700</f>
        <v>8630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f t="shared" si="45"/>
        <v>65870</v>
      </c>
      <c r="AA132" s="24">
        <v>0</v>
      </c>
      <c r="AB132" s="20">
        <f t="shared" si="46"/>
        <v>65870</v>
      </c>
      <c r="AC132" s="24" t="str">
        <f t="shared" si="30"/>
        <v/>
      </c>
      <c r="AD132" s="24" t="str">
        <f t="shared" si="31"/>
        <v/>
      </c>
      <c r="AE132" s="24" t="str">
        <f t="shared" si="32"/>
        <v/>
      </c>
      <c r="AF132" s="25" t="s">
        <v>318</v>
      </c>
    </row>
    <row r="133" spans="1:32" x14ac:dyDescent="0.25">
      <c r="A133" s="22" t="s">
        <v>126</v>
      </c>
      <c r="B133" s="22" t="s">
        <v>127</v>
      </c>
      <c r="C133" s="22" t="s">
        <v>48</v>
      </c>
      <c r="D133" s="23">
        <v>0</v>
      </c>
      <c r="E133" s="24">
        <v>0</v>
      </c>
      <c r="F133" s="24">
        <v>28000</v>
      </c>
      <c r="G133" s="24">
        <v>4000</v>
      </c>
      <c r="H133" s="24">
        <v>0</v>
      </c>
      <c r="I133" s="24">
        <v>5000</v>
      </c>
      <c r="J133" s="24">
        <f t="shared" si="40"/>
        <v>0</v>
      </c>
      <c r="K133" s="24">
        <f t="shared" si="41"/>
        <v>28000</v>
      </c>
      <c r="L133" s="24">
        <f t="shared" si="42"/>
        <v>4000</v>
      </c>
      <c r="M133" s="24">
        <f t="shared" si="43"/>
        <v>0</v>
      </c>
      <c r="N133" s="24">
        <f t="shared" si="44"/>
        <v>5000</v>
      </c>
      <c r="O133" s="24">
        <v>26150</v>
      </c>
      <c r="P133" s="24">
        <v>11330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4020</v>
      </c>
      <c r="Z133" s="24">
        <f t="shared" si="45"/>
        <v>78500</v>
      </c>
      <c r="AA133" s="24">
        <v>50000</v>
      </c>
      <c r="AB133" s="20">
        <f t="shared" si="46"/>
        <v>28500</v>
      </c>
      <c r="AC133" s="24" t="str">
        <f t="shared" si="30"/>
        <v/>
      </c>
      <c r="AD133" s="24" t="str">
        <f t="shared" si="31"/>
        <v/>
      </c>
      <c r="AE133" s="24" t="str">
        <f t="shared" si="32"/>
        <v/>
      </c>
      <c r="AF133" s="25" t="s">
        <v>318</v>
      </c>
    </row>
    <row r="134" spans="1:32" x14ac:dyDescent="0.25">
      <c r="A134" s="22" t="s">
        <v>128</v>
      </c>
      <c r="B134" s="22" t="s">
        <v>211</v>
      </c>
      <c r="C134" s="22" t="s">
        <v>49</v>
      </c>
      <c r="D134" s="23">
        <v>0.25</v>
      </c>
      <c r="E134" s="24">
        <v>0</v>
      </c>
      <c r="F134" s="24">
        <v>26000</v>
      </c>
      <c r="G134" s="24">
        <v>4000</v>
      </c>
      <c r="H134" s="24">
        <v>1000</v>
      </c>
      <c r="I134" s="24">
        <v>0</v>
      </c>
      <c r="J134" s="24">
        <f t="shared" si="40"/>
        <v>0</v>
      </c>
      <c r="K134" s="24">
        <f t="shared" si="41"/>
        <v>19500</v>
      </c>
      <c r="L134" s="24">
        <f t="shared" si="42"/>
        <v>4000</v>
      </c>
      <c r="M134" s="24">
        <f t="shared" si="43"/>
        <v>750</v>
      </c>
      <c r="N134" s="24">
        <f t="shared" si="44"/>
        <v>0</v>
      </c>
      <c r="O134" s="24">
        <v>6840</v>
      </c>
      <c r="P134" s="24">
        <v>5300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f t="shared" si="45"/>
        <v>36390</v>
      </c>
      <c r="AA134" s="24">
        <v>7070</v>
      </c>
      <c r="AB134" s="20">
        <f t="shared" si="46"/>
        <v>29320</v>
      </c>
      <c r="AC134" s="24" t="str">
        <f t="shared" si="30"/>
        <v/>
      </c>
      <c r="AD134" s="24" t="str">
        <f t="shared" si="31"/>
        <v/>
      </c>
      <c r="AE134" s="24" t="str">
        <f t="shared" si="32"/>
        <v/>
      </c>
      <c r="AF134" s="25" t="s">
        <v>318</v>
      </c>
    </row>
    <row r="135" spans="1:32" x14ac:dyDescent="0.25">
      <c r="A135" s="22" t="s">
        <v>128</v>
      </c>
      <c r="B135" s="22" t="s">
        <v>129</v>
      </c>
      <c r="C135" s="22" t="s">
        <v>30</v>
      </c>
      <c r="D135" s="23">
        <v>0.3</v>
      </c>
      <c r="E135" s="24">
        <v>0</v>
      </c>
      <c r="F135" s="24">
        <v>26000</v>
      </c>
      <c r="G135" s="24">
        <v>4000</v>
      </c>
      <c r="H135" s="24">
        <v>1000</v>
      </c>
      <c r="I135" s="24">
        <v>0</v>
      </c>
      <c r="J135" s="24">
        <f t="shared" si="40"/>
        <v>0</v>
      </c>
      <c r="K135" s="24">
        <f t="shared" si="41"/>
        <v>18200</v>
      </c>
      <c r="L135" s="24">
        <f t="shared" si="42"/>
        <v>4000</v>
      </c>
      <c r="M135" s="24">
        <f t="shared" si="43"/>
        <v>700</v>
      </c>
      <c r="N135" s="24">
        <f t="shared" si="44"/>
        <v>0</v>
      </c>
      <c r="O135" s="24">
        <v>12480</v>
      </c>
      <c r="P135" s="24">
        <v>7550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f t="shared" si="45"/>
        <v>42930</v>
      </c>
      <c r="AA135" s="24">
        <v>42930</v>
      </c>
      <c r="AB135" s="20">
        <f t="shared" si="46"/>
        <v>0</v>
      </c>
      <c r="AC135" s="24" t="str">
        <f t="shared" si="30"/>
        <v/>
      </c>
      <c r="AD135" s="24" t="str">
        <f t="shared" si="31"/>
        <v/>
      </c>
      <c r="AE135" s="24" t="str">
        <f t="shared" si="32"/>
        <v/>
      </c>
      <c r="AF135" s="25" t="s">
        <v>319</v>
      </c>
    </row>
    <row r="136" spans="1:32" x14ac:dyDescent="0.25">
      <c r="A136" s="22" t="s">
        <v>130</v>
      </c>
      <c r="B136" s="22" t="s">
        <v>131</v>
      </c>
      <c r="C136" s="22" t="s">
        <v>44</v>
      </c>
      <c r="D136" s="23">
        <v>0</v>
      </c>
      <c r="E136" s="24">
        <v>0</v>
      </c>
      <c r="F136" s="24">
        <v>26000</v>
      </c>
      <c r="G136" s="24">
        <v>4000</v>
      </c>
      <c r="H136" s="24">
        <v>0</v>
      </c>
      <c r="I136" s="24">
        <v>0</v>
      </c>
      <c r="J136" s="24">
        <f t="shared" si="40"/>
        <v>0</v>
      </c>
      <c r="K136" s="24">
        <f t="shared" si="41"/>
        <v>26000</v>
      </c>
      <c r="L136" s="24">
        <f t="shared" si="42"/>
        <v>4000</v>
      </c>
      <c r="M136" s="24">
        <f t="shared" si="43"/>
        <v>0</v>
      </c>
      <c r="N136" s="24">
        <f t="shared" si="44"/>
        <v>0</v>
      </c>
      <c r="O136" s="24">
        <v>13380</v>
      </c>
      <c r="P136" s="24">
        <v>3500</v>
      </c>
      <c r="Q136" s="24">
        <v>0</v>
      </c>
      <c r="R136" s="24">
        <v>0</v>
      </c>
      <c r="S136" s="24">
        <v>0</v>
      </c>
      <c r="T136" s="24">
        <v>6000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f t="shared" si="45"/>
        <v>52880</v>
      </c>
      <c r="AA136" s="24">
        <v>46880</v>
      </c>
      <c r="AB136" s="20">
        <f t="shared" si="46"/>
        <v>6000</v>
      </c>
      <c r="AC136" s="24" t="str">
        <f t="shared" si="30"/>
        <v/>
      </c>
      <c r="AD136" s="24" t="str">
        <f t="shared" si="31"/>
        <v/>
      </c>
      <c r="AE136" s="24" t="str">
        <f t="shared" si="32"/>
        <v/>
      </c>
      <c r="AF136" s="25" t="s">
        <v>318</v>
      </c>
    </row>
    <row r="137" spans="1:32" x14ac:dyDescent="0.25">
      <c r="A137" s="26"/>
      <c r="B137" s="26"/>
      <c r="C137" s="26"/>
      <c r="D137" s="27"/>
      <c r="E137" s="28"/>
      <c r="F137" s="28"/>
      <c r="G137" s="28"/>
      <c r="H137" s="28"/>
      <c r="I137" s="28"/>
      <c r="J137" s="28">
        <f t="shared" ref="J137:AF137" si="47">SUM(J2:J136)</f>
        <v>40500</v>
      </c>
      <c r="K137" s="28">
        <f t="shared" si="47"/>
        <v>3055200</v>
      </c>
      <c r="L137" s="28">
        <f t="shared" si="47"/>
        <v>554000</v>
      </c>
      <c r="M137" s="28">
        <f t="shared" si="47"/>
        <v>98300</v>
      </c>
      <c r="N137" s="28">
        <f t="shared" si="47"/>
        <v>278550</v>
      </c>
      <c r="O137" s="28">
        <f t="shared" si="47"/>
        <v>2266590</v>
      </c>
      <c r="P137" s="28">
        <f t="shared" si="47"/>
        <v>1214110</v>
      </c>
      <c r="Q137" s="28">
        <f t="shared" si="47"/>
        <v>424000</v>
      </c>
      <c r="R137" s="28">
        <f t="shared" si="47"/>
        <v>144000</v>
      </c>
      <c r="S137" s="28">
        <f t="shared" si="47"/>
        <v>124000</v>
      </c>
      <c r="T137" s="28">
        <f t="shared" si="47"/>
        <v>280000</v>
      </c>
      <c r="U137" s="28">
        <f t="shared" si="47"/>
        <v>0</v>
      </c>
      <c r="V137" s="28">
        <f t="shared" si="47"/>
        <v>0</v>
      </c>
      <c r="W137" s="28">
        <f t="shared" si="47"/>
        <v>0</v>
      </c>
      <c r="X137" s="28">
        <f t="shared" si="47"/>
        <v>0</v>
      </c>
      <c r="Y137" s="28">
        <f t="shared" si="47"/>
        <v>181860</v>
      </c>
      <c r="Z137" s="28">
        <f t="shared" si="47"/>
        <v>8661110</v>
      </c>
      <c r="AA137" s="28">
        <f t="shared" si="47"/>
        <v>5264265</v>
      </c>
      <c r="AB137" s="28">
        <f t="shared" si="47"/>
        <v>3396845</v>
      </c>
      <c r="AC137" s="28">
        <f t="shared" si="47"/>
        <v>78000</v>
      </c>
      <c r="AD137" s="28">
        <f t="shared" si="47"/>
        <v>0</v>
      </c>
      <c r="AE137" s="28">
        <f t="shared" si="47"/>
        <v>0</v>
      </c>
      <c r="AF137" s="28">
        <f t="shared" si="47"/>
        <v>0</v>
      </c>
    </row>
    <row r="138" spans="1:32" x14ac:dyDescent="0.25">
      <c r="A138" s="29"/>
      <c r="B138" s="29"/>
      <c r="C138" s="29"/>
      <c r="D138" s="3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  <c r="AC138" s="33"/>
      <c r="AD138" s="33"/>
    </row>
    <row r="139" spans="1:32" x14ac:dyDescent="0.25">
      <c r="A139" s="29"/>
      <c r="B139" s="29"/>
      <c r="C139" s="29"/>
      <c r="D139" s="3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  <c r="AC139" s="33"/>
      <c r="AD139" s="33"/>
    </row>
    <row r="140" spans="1:32" x14ac:dyDescent="0.25">
      <c r="A140" s="29"/>
      <c r="B140" s="29"/>
      <c r="C140" s="29"/>
      <c r="D140" s="3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  <c r="AC140" s="33"/>
      <c r="AD140" s="33"/>
    </row>
    <row r="141" spans="1:32" x14ac:dyDescent="0.25">
      <c r="A141" s="29"/>
      <c r="B141" s="29"/>
      <c r="C141" s="29"/>
      <c r="D141" s="3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  <c r="AC141" s="33"/>
      <c r="AD141" s="33"/>
    </row>
    <row r="142" spans="1:32" x14ac:dyDescent="0.25">
      <c r="A142" s="29"/>
      <c r="B142" s="29"/>
      <c r="C142" s="29"/>
      <c r="D142" s="3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  <c r="AC142" s="33"/>
      <c r="AD142" s="33"/>
    </row>
    <row r="143" spans="1:32" x14ac:dyDescent="0.25">
      <c r="A143" s="29"/>
      <c r="B143" s="29"/>
      <c r="C143" s="29"/>
      <c r="D143" s="3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  <c r="AC143" s="33"/>
      <c r="AD143" s="33"/>
    </row>
    <row r="144" spans="1:32" x14ac:dyDescent="0.25">
      <c r="A144" s="29"/>
      <c r="B144" s="29"/>
      <c r="C144" s="29"/>
      <c r="D144" s="3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  <c r="AC144" s="33"/>
      <c r="AD144" s="33"/>
    </row>
    <row r="145" spans="1:30" x14ac:dyDescent="0.25">
      <c r="A145" s="29"/>
      <c r="B145" s="29"/>
      <c r="C145" s="29"/>
      <c r="D145" s="3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  <c r="AC145" s="33"/>
      <c r="AD145" s="33"/>
    </row>
    <row r="146" spans="1:30" x14ac:dyDescent="0.25">
      <c r="A146" s="29"/>
      <c r="B146" s="29"/>
      <c r="C146" s="29"/>
      <c r="D146" s="3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  <c r="AC146" s="33"/>
      <c r="AD146" s="33"/>
    </row>
    <row r="147" spans="1:30" x14ac:dyDescent="0.25">
      <c r="A147" s="29"/>
      <c r="B147" s="29"/>
      <c r="C147" s="29"/>
      <c r="D147" s="3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  <c r="AC147" s="33"/>
      <c r="AD147" s="33"/>
    </row>
    <row r="148" spans="1:30" x14ac:dyDescent="0.25">
      <c r="A148" s="29"/>
      <c r="B148" s="29"/>
      <c r="C148" s="29"/>
      <c r="D148" s="3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  <c r="AC148" s="33"/>
      <c r="AD148" s="33"/>
    </row>
    <row r="149" spans="1:30" x14ac:dyDescent="0.25">
      <c r="A149" s="29"/>
      <c r="B149" s="29"/>
      <c r="C149" s="29"/>
      <c r="D149" s="3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  <c r="AC149" s="33"/>
      <c r="AD149" s="33"/>
    </row>
    <row r="150" spans="1:30" x14ac:dyDescent="0.25">
      <c r="A150" s="29"/>
      <c r="B150" s="29"/>
      <c r="C150" s="29"/>
      <c r="D150" s="3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  <c r="AC150" s="33"/>
      <c r="AD150" s="33"/>
    </row>
    <row r="151" spans="1:30" x14ac:dyDescent="0.25">
      <c r="A151" s="29"/>
      <c r="B151" s="29"/>
      <c r="C151" s="29"/>
      <c r="D151" s="3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  <c r="AC151" s="33"/>
      <c r="AD151" s="33"/>
    </row>
    <row r="152" spans="1:30" x14ac:dyDescent="0.25">
      <c r="A152" s="29"/>
      <c r="B152" s="29"/>
      <c r="C152" s="29"/>
      <c r="D152" s="3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  <c r="AC152" s="33"/>
      <c r="AD152" s="33"/>
    </row>
    <row r="153" spans="1:30" x14ac:dyDescent="0.25">
      <c r="A153" s="29"/>
      <c r="B153" s="29"/>
      <c r="C153" s="29"/>
      <c r="D153" s="3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  <c r="AC153" s="33"/>
      <c r="AD153" s="33"/>
    </row>
    <row r="154" spans="1:30" x14ac:dyDescent="0.25">
      <c r="A154" s="29"/>
      <c r="B154" s="29"/>
      <c r="C154" s="29"/>
      <c r="D154" s="3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2"/>
      <c r="AC154" s="33"/>
      <c r="AD154" s="33"/>
    </row>
    <row r="155" spans="1:30" x14ac:dyDescent="0.25">
      <c r="A155" s="29"/>
      <c r="B155" s="29"/>
      <c r="C155" s="29"/>
      <c r="D155" s="3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  <c r="AC155" s="33"/>
      <c r="AD155" s="33"/>
    </row>
    <row r="156" spans="1:30" x14ac:dyDescent="0.25">
      <c r="A156" s="29"/>
      <c r="B156" s="29"/>
      <c r="C156" s="29"/>
      <c r="D156" s="3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  <c r="AC156" s="33"/>
      <c r="AD156" s="33"/>
    </row>
    <row r="157" spans="1:30" x14ac:dyDescent="0.25">
      <c r="A157" s="29"/>
      <c r="B157" s="29"/>
      <c r="C157" s="29"/>
      <c r="D157" s="3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  <c r="AC157" s="33"/>
      <c r="AD157" s="33"/>
    </row>
    <row r="158" spans="1:30" x14ac:dyDescent="0.25">
      <c r="A158" s="29"/>
      <c r="B158" s="29"/>
      <c r="C158" s="29"/>
      <c r="D158" s="3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  <c r="AC158" s="33"/>
      <c r="AD158" s="33"/>
    </row>
    <row r="159" spans="1:30" x14ac:dyDescent="0.25">
      <c r="A159" s="29"/>
      <c r="B159" s="29"/>
      <c r="C159" s="29"/>
      <c r="D159" s="3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  <c r="AC159" s="33"/>
      <c r="AD159" s="33"/>
    </row>
    <row r="160" spans="1:30" x14ac:dyDescent="0.25">
      <c r="A160" s="29"/>
      <c r="B160" s="29"/>
      <c r="C160" s="29"/>
      <c r="D160" s="3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  <c r="AC160" s="33"/>
      <c r="AD160" s="33"/>
    </row>
    <row r="161" spans="1:30" x14ac:dyDescent="0.25">
      <c r="A161" s="29"/>
      <c r="B161" s="29"/>
      <c r="C161" s="29"/>
      <c r="D161" s="3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  <c r="AC161" s="33"/>
      <c r="AD161" s="33"/>
    </row>
    <row r="162" spans="1:30" x14ac:dyDescent="0.25">
      <c r="A162" s="29"/>
      <c r="B162" s="29"/>
      <c r="C162" s="29"/>
      <c r="D162" s="3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  <c r="AC162" s="33"/>
      <c r="AD162" s="33"/>
    </row>
    <row r="163" spans="1:30" x14ac:dyDescent="0.25">
      <c r="A163" s="29"/>
      <c r="B163" s="29"/>
      <c r="C163" s="29"/>
      <c r="D163" s="3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  <c r="AC163" s="33"/>
      <c r="AD163" s="33"/>
    </row>
    <row r="164" spans="1:30" x14ac:dyDescent="0.25">
      <c r="A164" s="29"/>
      <c r="B164" s="29"/>
      <c r="C164" s="29"/>
      <c r="D164" s="3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  <c r="AC164" s="33"/>
      <c r="AD164" s="33"/>
    </row>
    <row r="165" spans="1:30" x14ac:dyDescent="0.25">
      <c r="A165" s="29"/>
      <c r="B165" s="29"/>
      <c r="C165" s="29"/>
      <c r="D165" s="3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  <c r="AC165" s="33"/>
      <c r="AD165" s="33"/>
    </row>
    <row r="166" spans="1:30" x14ac:dyDescent="0.25">
      <c r="A166" s="29"/>
      <c r="B166" s="29"/>
      <c r="C166" s="29"/>
      <c r="D166" s="3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  <c r="AC166" s="33"/>
      <c r="AD166" s="33"/>
    </row>
    <row r="167" spans="1:30" x14ac:dyDescent="0.25">
      <c r="A167" s="29"/>
      <c r="B167" s="29"/>
      <c r="C167" s="29"/>
      <c r="D167" s="3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  <c r="AC167" s="33"/>
      <c r="AD167" s="33"/>
    </row>
    <row r="168" spans="1:30" x14ac:dyDescent="0.25">
      <c r="A168" s="29"/>
      <c r="B168" s="29"/>
      <c r="C168" s="29"/>
      <c r="D168" s="3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  <c r="AC168" s="33"/>
      <c r="AD168" s="33"/>
    </row>
    <row r="169" spans="1:30" x14ac:dyDescent="0.25">
      <c r="A169" s="29"/>
      <c r="B169" s="29"/>
      <c r="C169" s="29"/>
      <c r="D169" s="3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  <c r="AC169" s="33"/>
      <c r="AD169" s="33"/>
    </row>
    <row r="170" spans="1:30" x14ac:dyDescent="0.25">
      <c r="A170" s="29"/>
      <c r="B170" s="29"/>
      <c r="C170" s="29"/>
      <c r="D170" s="3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  <c r="AC170" s="33"/>
      <c r="AD170" s="33"/>
    </row>
    <row r="171" spans="1:30" x14ac:dyDescent="0.25">
      <c r="A171" s="29"/>
      <c r="B171" s="29"/>
      <c r="C171" s="29"/>
      <c r="D171" s="3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  <c r="AC171" s="33"/>
      <c r="AD171" s="33"/>
    </row>
    <row r="172" spans="1:30" x14ac:dyDescent="0.25">
      <c r="A172" s="29"/>
      <c r="B172" s="29"/>
      <c r="C172" s="29"/>
      <c r="D172" s="3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  <c r="AC172" s="33"/>
      <c r="AD172" s="33"/>
    </row>
    <row r="173" spans="1:30" x14ac:dyDescent="0.25">
      <c r="A173" s="29"/>
      <c r="B173" s="29"/>
      <c r="C173" s="29"/>
      <c r="D173" s="3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  <c r="AC173" s="33"/>
      <c r="AD173" s="33"/>
    </row>
    <row r="174" spans="1:30" x14ac:dyDescent="0.25">
      <c r="A174" s="29"/>
      <c r="B174" s="29"/>
      <c r="C174" s="29"/>
      <c r="D174" s="3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  <c r="AC174" s="33"/>
      <c r="AD174" s="33"/>
    </row>
    <row r="175" spans="1:30" x14ac:dyDescent="0.25">
      <c r="A175" s="29"/>
      <c r="B175" s="29"/>
      <c r="C175" s="29"/>
      <c r="D175" s="3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  <c r="AC175" s="33"/>
      <c r="AD175" s="33"/>
    </row>
    <row r="176" spans="1:30" x14ac:dyDescent="0.25">
      <c r="A176" s="29"/>
      <c r="B176" s="29"/>
      <c r="C176" s="29"/>
      <c r="D176" s="3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  <c r="AC176" s="33"/>
      <c r="AD176" s="33"/>
    </row>
    <row r="177" spans="1:30" x14ac:dyDescent="0.25">
      <c r="A177" s="29"/>
      <c r="B177" s="29"/>
      <c r="C177" s="29"/>
      <c r="D177" s="3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  <c r="AC177" s="33"/>
      <c r="AD177" s="33"/>
    </row>
    <row r="178" spans="1:30" x14ac:dyDescent="0.25">
      <c r="A178" s="29"/>
      <c r="B178" s="29"/>
      <c r="C178" s="29"/>
      <c r="D178" s="3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  <c r="AC178" s="33"/>
      <c r="AD178" s="33"/>
    </row>
    <row r="179" spans="1:30" x14ac:dyDescent="0.25">
      <c r="A179" s="29"/>
      <c r="B179" s="29"/>
      <c r="C179" s="29"/>
      <c r="D179" s="3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  <c r="AC179" s="33"/>
      <c r="AD179" s="33"/>
    </row>
    <row r="180" spans="1:30" x14ac:dyDescent="0.25">
      <c r="A180" s="29"/>
      <c r="B180" s="29"/>
      <c r="C180" s="29"/>
      <c r="D180" s="3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  <c r="AC180" s="33"/>
      <c r="AD180" s="33"/>
    </row>
    <row r="181" spans="1:30" x14ac:dyDescent="0.25">
      <c r="A181" s="29"/>
      <c r="B181" s="29"/>
      <c r="C181" s="29"/>
      <c r="D181" s="3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  <c r="AC181" s="33"/>
      <c r="AD181" s="33"/>
    </row>
    <row r="182" spans="1:30" x14ac:dyDescent="0.25">
      <c r="A182" s="29"/>
      <c r="B182" s="29"/>
      <c r="C182" s="29"/>
      <c r="D182" s="3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  <c r="AC182" s="33"/>
      <c r="AD182" s="33"/>
    </row>
    <row r="183" spans="1:30" x14ac:dyDescent="0.25">
      <c r="A183" s="29"/>
      <c r="B183" s="29"/>
      <c r="C183" s="29"/>
      <c r="D183" s="3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  <c r="AC183" s="33"/>
      <c r="AD183" s="33"/>
    </row>
    <row r="184" spans="1:30" x14ac:dyDescent="0.25">
      <c r="A184" s="29"/>
      <c r="B184" s="29"/>
      <c r="C184" s="29"/>
      <c r="D184" s="3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  <c r="AC184" s="33"/>
      <c r="AD184" s="33"/>
    </row>
    <row r="185" spans="1:30" x14ac:dyDescent="0.25">
      <c r="A185" s="29"/>
      <c r="B185" s="29"/>
      <c r="C185" s="29"/>
      <c r="D185" s="3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  <c r="AC185" s="33"/>
      <c r="AD185" s="33"/>
    </row>
    <row r="186" spans="1:30" x14ac:dyDescent="0.25">
      <c r="A186" s="29"/>
      <c r="B186" s="29"/>
      <c r="C186" s="29"/>
      <c r="D186" s="3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  <c r="AC186" s="33"/>
      <c r="AD186" s="33"/>
    </row>
    <row r="187" spans="1:30" x14ac:dyDescent="0.25">
      <c r="A187" s="29"/>
      <c r="B187" s="29"/>
      <c r="C187" s="29"/>
      <c r="D187" s="3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  <c r="AC187" s="33"/>
      <c r="AD187" s="33"/>
    </row>
    <row r="188" spans="1:30" x14ac:dyDescent="0.25">
      <c r="A188" s="29"/>
      <c r="B188" s="29"/>
      <c r="C188" s="29"/>
      <c r="D188" s="3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  <c r="AC188" s="33"/>
      <c r="AD188" s="33"/>
    </row>
    <row r="189" spans="1:30" x14ac:dyDescent="0.25">
      <c r="A189" s="29"/>
      <c r="B189" s="29"/>
      <c r="C189" s="29"/>
      <c r="D189" s="3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  <c r="AC189" s="33"/>
      <c r="AD189" s="33"/>
    </row>
    <row r="190" spans="1:30" x14ac:dyDescent="0.25">
      <c r="A190" s="29"/>
      <c r="B190" s="29"/>
      <c r="C190" s="29"/>
      <c r="D190" s="3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  <c r="AC190" s="33"/>
      <c r="AD190" s="33"/>
    </row>
    <row r="191" spans="1:30" x14ac:dyDescent="0.25">
      <c r="A191" s="29"/>
      <c r="B191" s="29"/>
      <c r="C191" s="29"/>
      <c r="D191" s="3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  <c r="AC191" s="33"/>
      <c r="AD191" s="33"/>
    </row>
    <row r="192" spans="1:30" x14ac:dyDescent="0.25">
      <c r="A192" s="29"/>
      <c r="B192" s="29"/>
      <c r="C192" s="29"/>
      <c r="D192" s="3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  <c r="AC192" s="33"/>
      <c r="AD192" s="33"/>
    </row>
    <row r="193" spans="1:30" x14ac:dyDescent="0.25">
      <c r="A193" s="29"/>
      <c r="B193" s="29"/>
      <c r="C193" s="29"/>
      <c r="D193" s="3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  <c r="AC193" s="33"/>
      <c r="AD193" s="33"/>
    </row>
    <row r="194" spans="1:30" x14ac:dyDescent="0.25">
      <c r="A194" s="29"/>
      <c r="B194" s="29"/>
      <c r="C194" s="29"/>
      <c r="D194" s="3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  <c r="AC194" s="33"/>
      <c r="AD194" s="33"/>
    </row>
    <row r="195" spans="1:30" x14ac:dyDescent="0.25">
      <c r="A195" s="29"/>
      <c r="B195" s="29"/>
      <c r="C195" s="29"/>
      <c r="D195" s="3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  <c r="AC195" s="33"/>
      <c r="AD195" s="33"/>
    </row>
    <row r="196" spans="1:30" x14ac:dyDescent="0.25">
      <c r="A196" s="29"/>
      <c r="B196" s="29"/>
      <c r="C196" s="29"/>
      <c r="D196" s="3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  <c r="AC196" s="33"/>
      <c r="AD196" s="33"/>
    </row>
    <row r="197" spans="1:30" x14ac:dyDescent="0.25">
      <c r="A197" s="29"/>
      <c r="B197" s="29"/>
      <c r="C197" s="29"/>
      <c r="D197" s="3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  <c r="AC197" s="33"/>
      <c r="AD197" s="33"/>
    </row>
    <row r="198" spans="1:30" x14ac:dyDescent="0.25">
      <c r="A198" s="29"/>
      <c r="B198" s="29"/>
      <c r="C198" s="29"/>
      <c r="D198" s="3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  <c r="AC198" s="33"/>
      <c r="AD198" s="33"/>
    </row>
    <row r="199" spans="1:30" x14ac:dyDescent="0.25">
      <c r="A199" s="29"/>
      <c r="B199" s="29"/>
      <c r="C199" s="29"/>
      <c r="D199" s="3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  <c r="AC199" s="33"/>
      <c r="AD199" s="33"/>
    </row>
    <row r="200" spans="1:30" x14ac:dyDescent="0.25">
      <c r="A200" s="29"/>
      <c r="B200" s="29"/>
      <c r="C200" s="29"/>
      <c r="D200" s="3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  <c r="AC200" s="33"/>
      <c r="AD200" s="33"/>
    </row>
    <row r="201" spans="1:30" x14ac:dyDescent="0.25">
      <c r="A201" s="29"/>
      <c r="B201" s="29"/>
      <c r="C201" s="29"/>
      <c r="D201" s="3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  <c r="AC201" s="33"/>
      <c r="AD201" s="33"/>
    </row>
    <row r="202" spans="1:30" x14ac:dyDescent="0.25">
      <c r="A202" s="29"/>
      <c r="B202" s="29"/>
      <c r="C202" s="29"/>
      <c r="D202" s="3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  <c r="AC202" s="33"/>
      <c r="AD202" s="33"/>
    </row>
    <row r="203" spans="1:30" x14ac:dyDescent="0.25">
      <c r="A203" s="29"/>
      <c r="B203" s="29"/>
      <c r="C203" s="29"/>
      <c r="D203" s="3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  <c r="AC203" s="33"/>
      <c r="AD203" s="33"/>
    </row>
    <row r="204" spans="1:30" x14ac:dyDescent="0.25">
      <c r="A204" s="29"/>
      <c r="B204" s="29"/>
      <c r="C204" s="29"/>
      <c r="D204" s="3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  <c r="AC204" s="33"/>
      <c r="AD204" s="33"/>
    </row>
    <row r="205" spans="1:30" x14ac:dyDescent="0.25">
      <c r="A205" s="29"/>
      <c r="B205" s="29"/>
      <c r="C205" s="29"/>
      <c r="D205" s="3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  <c r="AC205" s="33"/>
      <c r="AD205" s="33"/>
    </row>
    <row r="206" spans="1:30" x14ac:dyDescent="0.25">
      <c r="A206" s="29"/>
      <c r="B206" s="29"/>
      <c r="C206" s="29"/>
      <c r="D206" s="3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  <c r="AC206" s="33"/>
      <c r="AD206" s="33"/>
    </row>
    <row r="207" spans="1:30" x14ac:dyDescent="0.25">
      <c r="A207" s="29"/>
      <c r="B207" s="29"/>
      <c r="C207" s="29"/>
      <c r="D207" s="3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  <c r="AC207" s="33"/>
      <c r="AD207" s="33"/>
    </row>
    <row r="208" spans="1:30" x14ac:dyDescent="0.25">
      <c r="A208" s="29"/>
      <c r="B208" s="29"/>
      <c r="C208" s="29"/>
      <c r="D208" s="3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  <c r="AC208" s="33"/>
      <c r="AD208" s="33"/>
    </row>
    <row r="209" spans="1:30" x14ac:dyDescent="0.25">
      <c r="A209" s="29"/>
      <c r="B209" s="29"/>
      <c r="C209" s="29"/>
      <c r="D209" s="3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  <c r="AC209" s="33"/>
      <c r="AD209" s="33"/>
    </row>
    <row r="210" spans="1:30" x14ac:dyDescent="0.25">
      <c r="A210" s="29"/>
      <c r="B210" s="29"/>
      <c r="C210" s="29"/>
      <c r="D210" s="3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  <c r="AC210" s="33"/>
      <c r="AD210" s="33"/>
    </row>
    <row r="211" spans="1:30" x14ac:dyDescent="0.25">
      <c r="A211" s="29"/>
      <c r="B211" s="29"/>
      <c r="C211" s="29"/>
      <c r="D211" s="3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  <c r="AC211" s="33"/>
      <c r="AD211" s="33"/>
    </row>
    <row r="212" spans="1:30" x14ac:dyDescent="0.25">
      <c r="A212" s="29"/>
      <c r="B212" s="29"/>
      <c r="C212" s="29"/>
      <c r="D212" s="3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  <c r="AC212" s="33"/>
      <c r="AD212" s="33"/>
    </row>
    <row r="213" spans="1:30" x14ac:dyDescent="0.25">
      <c r="A213" s="29"/>
      <c r="B213" s="29"/>
      <c r="C213" s="29"/>
      <c r="D213" s="3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  <c r="AC213" s="33"/>
      <c r="AD213" s="33"/>
    </row>
    <row r="214" spans="1:30" x14ac:dyDescent="0.25">
      <c r="A214" s="29"/>
      <c r="B214" s="29"/>
      <c r="C214" s="29"/>
      <c r="D214" s="3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  <c r="AC214" s="33"/>
      <c r="AD214" s="33"/>
    </row>
    <row r="215" spans="1:30" x14ac:dyDescent="0.25">
      <c r="A215" s="29"/>
      <c r="B215" s="29"/>
      <c r="C215" s="29"/>
      <c r="D215" s="3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  <c r="AC215" s="33"/>
      <c r="AD215" s="33"/>
    </row>
    <row r="216" spans="1:30" x14ac:dyDescent="0.25">
      <c r="A216" s="29"/>
      <c r="B216" s="29"/>
      <c r="C216" s="29"/>
      <c r="D216" s="3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  <c r="AC216" s="33"/>
      <c r="AD216" s="33"/>
    </row>
    <row r="217" spans="1:30" x14ac:dyDescent="0.25">
      <c r="A217" s="29"/>
      <c r="B217" s="29"/>
      <c r="C217" s="29"/>
      <c r="D217" s="3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  <c r="AC217" s="33"/>
      <c r="AD217" s="33"/>
    </row>
    <row r="218" spans="1:30" x14ac:dyDescent="0.25">
      <c r="A218" s="29"/>
      <c r="B218" s="29"/>
      <c r="C218" s="29"/>
      <c r="D218" s="3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  <c r="AC218" s="33"/>
      <c r="AD218" s="33"/>
    </row>
    <row r="219" spans="1:30" x14ac:dyDescent="0.25">
      <c r="A219" s="29"/>
      <c r="B219" s="29"/>
      <c r="C219" s="29"/>
      <c r="D219" s="3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  <c r="AC219" s="33"/>
      <c r="AD219" s="33"/>
    </row>
    <row r="220" spans="1:30" x14ac:dyDescent="0.25">
      <c r="A220" s="29"/>
      <c r="B220" s="29"/>
      <c r="C220" s="29"/>
      <c r="D220" s="3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  <c r="AC220" s="33"/>
      <c r="AD220" s="33"/>
    </row>
    <row r="221" spans="1:30" x14ac:dyDescent="0.25">
      <c r="A221" s="29"/>
      <c r="B221" s="29"/>
      <c r="C221" s="29"/>
      <c r="D221" s="3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  <c r="AC221" s="33"/>
      <c r="AD221" s="33"/>
    </row>
    <row r="222" spans="1:30" x14ac:dyDescent="0.25">
      <c r="A222" s="29"/>
      <c r="B222" s="29"/>
      <c r="C222" s="29"/>
      <c r="D222" s="3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  <c r="AC222" s="33"/>
      <c r="AD222" s="33"/>
    </row>
    <row r="223" spans="1:30" x14ac:dyDescent="0.25">
      <c r="A223" s="29"/>
      <c r="B223" s="29"/>
      <c r="C223" s="29"/>
      <c r="D223" s="3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2"/>
      <c r="AC223" s="33"/>
      <c r="AD223" s="33"/>
    </row>
    <row r="224" spans="1:30" x14ac:dyDescent="0.25">
      <c r="A224" s="29"/>
      <c r="B224" s="29"/>
      <c r="C224" s="29"/>
      <c r="D224" s="3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2"/>
      <c r="AC224" s="33"/>
      <c r="AD224" s="33"/>
    </row>
    <row r="225" spans="1:30" x14ac:dyDescent="0.25">
      <c r="A225" s="29"/>
      <c r="B225" s="29"/>
      <c r="C225" s="29"/>
      <c r="D225" s="3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2"/>
      <c r="AC225" s="33"/>
      <c r="AD225" s="33"/>
    </row>
    <row r="226" spans="1:30" x14ac:dyDescent="0.25">
      <c r="A226" s="29"/>
      <c r="B226" s="29"/>
      <c r="C226" s="29"/>
      <c r="D226" s="3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2"/>
      <c r="AC226" s="33"/>
      <c r="AD226" s="33"/>
    </row>
    <row r="227" spans="1:30" x14ac:dyDescent="0.25">
      <c r="A227" s="29"/>
      <c r="B227" s="29"/>
      <c r="C227" s="29"/>
      <c r="D227" s="3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2"/>
      <c r="AC227" s="33"/>
      <c r="AD227" s="33"/>
    </row>
    <row r="228" spans="1:30" x14ac:dyDescent="0.25">
      <c r="A228" s="29"/>
      <c r="B228" s="29"/>
      <c r="C228" s="29"/>
      <c r="D228" s="3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2"/>
      <c r="AC228" s="33"/>
      <c r="AD228" s="33"/>
    </row>
    <row r="229" spans="1:30" x14ac:dyDescent="0.25">
      <c r="A229" s="29"/>
      <c r="B229" s="29"/>
      <c r="C229" s="29"/>
      <c r="D229" s="3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2"/>
      <c r="AC229" s="33"/>
      <c r="AD229" s="33"/>
    </row>
    <row r="230" spans="1:30" x14ac:dyDescent="0.25">
      <c r="A230" s="29"/>
      <c r="B230" s="29"/>
      <c r="C230" s="29"/>
      <c r="D230" s="3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2"/>
      <c r="AC230" s="33"/>
      <c r="AD230" s="33"/>
    </row>
    <row r="231" spans="1:30" x14ac:dyDescent="0.25">
      <c r="A231" s="29"/>
      <c r="B231" s="29"/>
      <c r="C231" s="29"/>
      <c r="D231" s="3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2"/>
      <c r="AC231" s="33"/>
      <c r="AD231" s="33"/>
    </row>
    <row r="232" spans="1:30" x14ac:dyDescent="0.25">
      <c r="A232" s="29"/>
      <c r="B232" s="29"/>
      <c r="C232" s="29"/>
      <c r="D232" s="3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2"/>
      <c r="AC232" s="33"/>
      <c r="AD232" s="33"/>
    </row>
    <row r="233" spans="1:30" x14ac:dyDescent="0.25">
      <c r="A233" s="29"/>
      <c r="B233" s="29"/>
      <c r="C233" s="29"/>
      <c r="D233" s="3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2"/>
      <c r="AC233" s="33"/>
      <c r="AD233" s="33"/>
    </row>
    <row r="234" spans="1:30" x14ac:dyDescent="0.25">
      <c r="A234" s="29"/>
      <c r="B234" s="29"/>
      <c r="C234" s="29"/>
      <c r="D234" s="3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2"/>
      <c r="AC234" s="33"/>
      <c r="AD234" s="33"/>
    </row>
    <row r="235" spans="1:30" x14ac:dyDescent="0.25">
      <c r="A235" s="29"/>
      <c r="B235" s="29"/>
      <c r="C235" s="29"/>
      <c r="D235" s="3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2"/>
      <c r="AC235" s="33"/>
      <c r="AD235" s="33"/>
    </row>
    <row r="236" spans="1:30" x14ac:dyDescent="0.25">
      <c r="A236" s="29"/>
      <c r="B236" s="29"/>
      <c r="C236" s="29"/>
      <c r="D236" s="3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2"/>
      <c r="AC236" s="33"/>
      <c r="AD236" s="33"/>
    </row>
    <row r="237" spans="1:30" x14ac:dyDescent="0.25">
      <c r="A237" s="29"/>
      <c r="B237" s="29"/>
      <c r="C237" s="29"/>
      <c r="D237" s="3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2"/>
      <c r="AC237" s="33"/>
      <c r="AD237" s="33"/>
    </row>
    <row r="238" spans="1:30" x14ac:dyDescent="0.25">
      <c r="A238" s="29"/>
      <c r="B238" s="29"/>
      <c r="C238" s="29"/>
      <c r="D238" s="3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2"/>
      <c r="AC238" s="33"/>
      <c r="AD238" s="33"/>
    </row>
    <row r="239" spans="1:30" x14ac:dyDescent="0.25">
      <c r="A239" s="29"/>
      <c r="B239" s="29"/>
      <c r="C239" s="29"/>
      <c r="D239" s="3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2"/>
      <c r="AC239" s="33"/>
      <c r="AD239" s="33"/>
    </row>
    <row r="240" spans="1:30" x14ac:dyDescent="0.25">
      <c r="A240" s="29"/>
      <c r="B240" s="29"/>
      <c r="C240" s="29"/>
      <c r="D240" s="3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4"/>
      <c r="AC240" s="33"/>
      <c r="AD240" s="33"/>
    </row>
    <row r="241" spans="1:30" x14ac:dyDescent="0.25">
      <c r="A241" s="29"/>
      <c r="B241" s="29"/>
      <c r="C241" s="29"/>
      <c r="D241" s="30"/>
      <c r="E241" s="31"/>
      <c r="F241" s="31"/>
      <c r="G241" s="31"/>
      <c r="H241" s="31"/>
      <c r="I241" s="31"/>
      <c r="J241" s="31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34"/>
      <c r="AC241" s="33"/>
      <c r="AD241" s="33"/>
    </row>
    <row r="242" spans="1:30" x14ac:dyDescent="0.25">
      <c r="A242" s="29"/>
      <c r="B242" s="29"/>
      <c r="C242" s="29"/>
      <c r="D242" s="30"/>
      <c r="E242" s="31"/>
      <c r="F242" s="31"/>
      <c r="G242" s="31"/>
      <c r="H242" s="31"/>
      <c r="I242" s="31"/>
      <c r="J242" s="31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34"/>
      <c r="AC242" s="33"/>
      <c r="AD242" s="33"/>
    </row>
    <row r="243" spans="1:30" x14ac:dyDescent="0.25">
      <c r="A243" s="29"/>
      <c r="B243" s="29"/>
      <c r="C243" s="29"/>
      <c r="D243" s="30"/>
      <c r="E243" s="31"/>
      <c r="F243" s="31"/>
      <c r="G243" s="31"/>
      <c r="H243" s="31"/>
      <c r="I243" s="31"/>
      <c r="J243" s="31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34"/>
      <c r="AC243" s="33"/>
      <c r="AD243" s="33"/>
    </row>
    <row r="244" spans="1:30" x14ac:dyDescent="0.25">
      <c r="A244" s="29"/>
      <c r="B244" s="29"/>
      <c r="C244" s="29"/>
      <c r="D244" s="30"/>
      <c r="E244" s="31"/>
      <c r="F244" s="31"/>
      <c r="G244" s="31"/>
      <c r="H244" s="31"/>
      <c r="I244" s="31"/>
      <c r="J244" s="31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34"/>
      <c r="AC244" s="33"/>
      <c r="AD244" s="33"/>
    </row>
    <row r="245" spans="1:30" x14ac:dyDescent="0.25">
      <c r="A245" s="29"/>
      <c r="B245" s="29"/>
      <c r="C245" s="29"/>
      <c r="D245" s="30"/>
      <c r="E245" s="31"/>
      <c r="F245" s="31"/>
      <c r="G245" s="31"/>
      <c r="H245" s="31"/>
      <c r="I245" s="31"/>
      <c r="J245" s="31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34"/>
      <c r="AC245" s="33"/>
      <c r="AD245" s="33"/>
    </row>
    <row r="246" spans="1:30" x14ac:dyDescent="0.25">
      <c r="A246" s="29"/>
      <c r="B246" s="29"/>
      <c r="C246" s="29"/>
      <c r="D246" s="30"/>
      <c r="E246" s="31"/>
      <c r="F246" s="31"/>
      <c r="G246" s="31"/>
      <c r="H246" s="31"/>
      <c r="I246" s="31"/>
      <c r="J246" s="31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34"/>
      <c r="AC246" s="33"/>
      <c r="AD246" s="33"/>
    </row>
    <row r="247" spans="1:30" x14ac:dyDescent="0.25">
      <c r="A247" s="29"/>
      <c r="B247" s="29"/>
      <c r="C247" s="29"/>
      <c r="D247" s="30"/>
      <c r="E247" s="31"/>
      <c r="F247" s="31"/>
      <c r="G247" s="31"/>
      <c r="H247" s="31"/>
      <c r="I247" s="31"/>
      <c r="J247" s="31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34"/>
      <c r="AC247" s="33"/>
      <c r="AD247" s="33"/>
    </row>
    <row r="248" spans="1:30" x14ac:dyDescent="0.25">
      <c r="A248" s="29"/>
      <c r="B248" s="29"/>
      <c r="C248" s="29"/>
      <c r="D248" s="30"/>
      <c r="E248" s="31"/>
      <c r="F248" s="31"/>
      <c r="G248" s="31"/>
      <c r="H248" s="31"/>
      <c r="I248" s="31"/>
      <c r="J248" s="31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34"/>
      <c r="AC248" s="33"/>
      <c r="AD248" s="33"/>
    </row>
    <row r="249" spans="1:30" x14ac:dyDescent="0.25">
      <c r="A249" s="29"/>
      <c r="B249" s="29"/>
      <c r="C249" s="29"/>
      <c r="D249" s="30"/>
      <c r="E249" s="31"/>
      <c r="F249" s="31"/>
      <c r="G249" s="31"/>
      <c r="H249" s="31"/>
      <c r="I249" s="31"/>
      <c r="J249" s="31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34"/>
      <c r="AC249" s="33"/>
      <c r="AD249" s="33"/>
    </row>
    <row r="250" spans="1:30" x14ac:dyDescent="0.25">
      <c r="A250" s="29"/>
      <c r="B250" s="29"/>
      <c r="C250" s="29"/>
      <c r="D250" s="30"/>
      <c r="E250" s="31"/>
      <c r="F250" s="31"/>
      <c r="G250" s="31"/>
      <c r="H250" s="31"/>
      <c r="I250" s="31"/>
      <c r="J250" s="31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34"/>
      <c r="AC250" s="33"/>
      <c r="AD250" s="33"/>
    </row>
    <row r="251" spans="1:30" x14ac:dyDescent="0.25">
      <c r="A251" s="29"/>
      <c r="B251" s="29"/>
      <c r="C251" s="29"/>
      <c r="D251" s="30"/>
      <c r="E251" s="31"/>
      <c r="F251" s="31"/>
      <c r="G251" s="31"/>
      <c r="H251" s="31"/>
      <c r="I251" s="31"/>
      <c r="J251" s="31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34"/>
      <c r="AC251" s="33"/>
      <c r="AD251" s="33"/>
    </row>
    <row r="252" spans="1:30" x14ac:dyDescent="0.25">
      <c r="A252" s="29"/>
      <c r="B252" s="29"/>
      <c r="C252" s="29"/>
      <c r="D252" s="30"/>
      <c r="E252" s="31"/>
      <c r="F252" s="31"/>
      <c r="G252" s="31"/>
      <c r="H252" s="31"/>
      <c r="I252" s="31"/>
      <c r="J252" s="31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34"/>
      <c r="AC252" s="33"/>
      <c r="AD252" s="33"/>
    </row>
    <row r="253" spans="1:30" x14ac:dyDescent="0.25">
      <c r="A253" s="29"/>
      <c r="B253" s="29"/>
      <c r="C253" s="29"/>
      <c r="D253" s="30"/>
      <c r="E253" s="31"/>
      <c r="F253" s="31"/>
      <c r="G253" s="31"/>
      <c r="H253" s="31"/>
      <c r="I253" s="31"/>
      <c r="J253" s="31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34"/>
      <c r="AC253" s="33"/>
      <c r="AD253" s="33"/>
    </row>
    <row r="254" spans="1:30" x14ac:dyDescent="0.25">
      <c r="A254" s="29"/>
      <c r="B254" s="29"/>
      <c r="C254" s="29"/>
      <c r="D254" s="30"/>
      <c r="E254" s="31"/>
      <c r="F254" s="31"/>
      <c r="G254" s="31"/>
      <c r="H254" s="31"/>
      <c r="I254" s="31"/>
      <c r="J254" s="31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34"/>
      <c r="AC254" s="33"/>
      <c r="AD254" s="33"/>
    </row>
    <row r="255" spans="1:30" x14ac:dyDescent="0.25">
      <c r="A255" s="29"/>
      <c r="B255" s="29"/>
      <c r="C255" s="29"/>
      <c r="D255" s="30"/>
      <c r="E255" s="31"/>
      <c r="F255" s="31"/>
      <c r="G255" s="31"/>
      <c r="H255" s="31"/>
      <c r="I255" s="31"/>
      <c r="J255" s="31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34"/>
      <c r="AC255" s="33"/>
      <c r="AD255" s="33"/>
    </row>
    <row r="256" spans="1:30" x14ac:dyDescent="0.25">
      <c r="A256" s="29"/>
      <c r="B256" s="29"/>
      <c r="C256" s="29"/>
      <c r="D256" s="30"/>
      <c r="E256" s="31"/>
      <c r="F256" s="31"/>
      <c r="G256" s="31"/>
      <c r="H256" s="31"/>
      <c r="I256" s="31"/>
      <c r="J256" s="31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34"/>
      <c r="AC256" s="33"/>
      <c r="AD256" s="33"/>
    </row>
    <row r="257" spans="1:30" x14ac:dyDescent="0.25">
      <c r="A257" s="29"/>
      <c r="B257" s="29"/>
      <c r="C257" s="29"/>
      <c r="D257" s="30"/>
      <c r="E257" s="31"/>
      <c r="F257" s="31"/>
      <c r="G257" s="31"/>
      <c r="H257" s="31"/>
      <c r="I257" s="31"/>
      <c r="J257" s="31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34"/>
      <c r="AC257" s="33"/>
      <c r="AD257" s="33"/>
    </row>
    <row r="258" spans="1:30" x14ac:dyDescent="0.25">
      <c r="A258" s="29"/>
      <c r="B258" s="29"/>
      <c r="C258" s="29"/>
      <c r="D258" s="30"/>
      <c r="E258" s="31"/>
      <c r="F258" s="31"/>
      <c r="G258" s="31"/>
      <c r="H258" s="31"/>
      <c r="I258" s="31"/>
      <c r="J258" s="31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34"/>
      <c r="AC258" s="33"/>
      <c r="AD258" s="33"/>
    </row>
    <row r="259" spans="1:30" x14ac:dyDescent="0.25">
      <c r="A259" s="29"/>
      <c r="B259" s="29"/>
      <c r="C259" s="29"/>
      <c r="D259" s="30"/>
      <c r="E259" s="31"/>
      <c r="F259" s="31"/>
      <c r="G259" s="31"/>
      <c r="H259" s="31"/>
      <c r="I259" s="31"/>
      <c r="J259" s="31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34"/>
      <c r="AC259" s="33"/>
      <c r="AD259" s="33"/>
    </row>
    <row r="260" spans="1:30" x14ac:dyDescent="0.25">
      <c r="A260" s="29"/>
      <c r="B260" s="29"/>
      <c r="C260" s="29"/>
      <c r="D260" s="30"/>
      <c r="E260" s="31"/>
      <c r="F260" s="31"/>
      <c r="G260" s="31"/>
      <c r="H260" s="31"/>
      <c r="I260" s="31"/>
      <c r="J260" s="31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34"/>
      <c r="AC260" s="33"/>
      <c r="AD260" s="33"/>
    </row>
    <row r="261" spans="1:30" x14ac:dyDescent="0.25">
      <c r="A261" s="29"/>
      <c r="B261" s="29"/>
      <c r="C261" s="29"/>
      <c r="D261" s="30"/>
      <c r="E261" s="31"/>
      <c r="F261" s="31"/>
      <c r="G261" s="31"/>
      <c r="H261" s="31"/>
      <c r="I261" s="31"/>
      <c r="J261" s="31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34"/>
      <c r="AC261" s="33"/>
      <c r="AD261" s="33"/>
    </row>
    <row r="262" spans="1:30" x14ac:dyDescent="0.25">
      <c r="A262" s="29"/>
      <c r="B262" s="29"/>
      <c r="C262" s="29"/>
      <c r="D262" s="30"/>
      <c r="E262" s="31"/>
      <c r="F262" s="31"/>
      <c r="G262" s="31"/>
      <c r="H262" s="31"/>
      <c r="I262" s="31"/>
      <c r="J262" s="31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34"/>
      <c r="AC262" s="33"/>
      <c r="AD262" s="33"/>
    </row>
    <row r="263" spans="1:30" x14ac:dyDescent="0.25">
      <c r="A263" s="29"/>
      <c r="B263" s="29"/>
      <c r="C263" s="29"/>
      <c r="D263" s="30"/>
      <c r="E263" s="31"/>
      <c r="F263" s="31"/>
      <c r="G263" s="31"/>
      <c r="H263" s="31"/>
      <c r="I263" s="31"/>
      <c r="J263" s="31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34"/>
      <c r="AC263" s="33"/>
      <c r="AD263" s="33"/>
    </row>
    <row r="264" spans="1:30" x14ac:dyDescent="0.25">
      <c r="A264" s="29"/>
      <c r="B264" s="29"/>
      <c r="C264" s="29"/>
      <c r="D264" s="30"/>
      <c r="E264" s="31"/>
      <c r="F264" s="31"/>
      <c r="G264" s="31"/>
      <c r="H264" s="31"/>
      <c r="I264" s="31"/>
      <c r="J264" s="31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34"/>
      <c r="AC264" s="33"/>
      <c r="AD264" s="33"/>
    </row>
    <row r="265" spans="1:30" x14ac:dyDescent="0.25">
      <c r="A265" s="29"/>
      <c r="B265" s="29"/>
      <c r="C265" s="29"/>
      <c r="D265" s="30"/>
      <c r="E265" s="31"/>
      <c r="F265" s="31"/>
      <c r="G265" s="31"/>
      <c r="H265" s="31"/>
      <c r="I265" s="31"/>
      <c r="J265" s="31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34"/>
      <c r="AC265" s="33"/>
      <c r="AD265" s="33"/>
    </row>
    <row r="266" spans="1:30" x14ac:dyDescent="0.25">
      <c r="A266" s="29"/>
      <c r="B266" s="29"/>
      <c r="C266" s="29"/>
      <c r="D266" s="30"/>
      <c r="E266" s="31"/>
      <c r="F266" s="31"/>
      <c r="G266" s="31"/>
      <c r="H266" s="31"/>
      <c r="I266" s="31"/>
      <c r="J266" s="31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34"/>
      <c r="AC266" s="33"/>
      <c r="AD266" s="33"/>
    </row>
    <row r="267" spans="1:30" x14ac:dyDescent="0.25">
      <c r="A267" s="29"/>
      <c r="B267" s="29"/>
      <c r="C267" s="29"/>
      <c r="D267" s="30"/>
      <c r="E267" s="31"/>
      <c r="F267" s="31"/>
      <c r="G267" s="31"/>
      <c r="H267" s="31"/>
      <c r="I267" s="31"/>
      <c r="J267" s="31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34"/>
      <c r="AC267" s="33"/>
      <c r="AD267" s="33"/>
    </row>
    <row r="268" spans="1:30" x14ac:dyDescent="0.25">
      <c r="A268" s="29"/>
      <c r="B268" s="29"/>
      <c r="C268" s="29"/>
      <c r="D268" s="30"/>
      <c r="E268" s="31"/>
      <c r="F268" s="31"/>
      <c r="G268" s="31"/>
      <c r="H268" s="31"/>
      <c r="I268" s="31"/>
      <c r="J268" s="31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34"/>
      <c r="AC268" s="33"/>
      <c r="AD268" s="33"/>
    </row>
    <row r="269" spans="1:30" x14ac:dyDescent="0.25">
      <c r="A269" s="29"/>
      <c r="B269" s="29"/>
      <c r="C269" s="29"/>
      <c r="D269" s="30"/>
      <c r="E269" s="31"/>
      <c r="F269" s="31"/>
      <c r="G269" s="31"/>
      <c r="H269" s="31"/>
      <c r="I269" s="31"/>
      <c r="J269" s="31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34"/>
      <c r="AC269" s="33"/>
      <c r="AD269" s="33"/>
    </row>
    <row r="270" spans="1:30" x14ac:dyDescent="0.25">
      <c r="A270" s="29"/>
      <c r="B270" s="29"/>
      <c r="C270" s="29"/>
      <c r="D270" s="30"/>
      <c r="E270" s="31"/>
      <c r="F270" s="31"/>
      <c r="G270" s="31"/>
      <c r="H270" s="31"/>
      <c r="I270" s="31"/>
      <c r="J270" s="31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34"/>
      <c r="AC270" s="33"/>
      <c r="AD270" s="33"/>
    </row>
    <row r="271" spans="1:30" x14ac:dyDescent="0.25">
      <c r="A271" s="29"/>
      <c r="B271" s="29"/>
      <c r="C271" s="29"/>
      <c r="D271" s="30"/>
      <c r="E271" s="31"/>
      <c r="F271" s="31"/>
      <c r="G271" s="31"/>
      <c r="H271" s="31"/>
      <c r="I271" s="31"/>
      <c r="J271" s="31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34"/>
      <c r="AC271" s="33"/>
      <c r="AD271" s="33"/>
    </row>
    <row r="272" spans="1:30" x14ac:dyDescent="0.25">
      <c r="A272" s="29"/>
      <c r="B272" s="29"/>
      <c r="C272" s="29"/>
      <c r="D272" s="30"/>
      <c r="E272" s="31"/>
      <c r="F272" s="31"/>
      <c r="G272" s="31"/>
      <c r="H272" s="31"/>
      <c r="I272" s="31"/>
      <c r="J272" s="31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34"/>
      <c r="AC272" s="33"/>
      <c r="AD272" s="33"/>
    </row>
    <row r="273" spans="1:30" x14ac:dyDescent="0.25">
      <c r="A273" s="29"/>
      <c r="B273" s="29"/>
      <c r="C273" s="29"/>
      <c r="D273" s="30"/>
      <c r="E273" s="31"/>
      <c r="F273" s="31"/>
      <c r="G273" s="31"/>
      <c r="H273" s="31"/>
      <c r="I273" s="31"/>
      <c r="J273" s="31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34"/>
      <c r="AC273" s="33"/>
      <c r="AD273" s="33"/>
    </row>
    <row r="274" spans="1:30" x14ac:dyDescent="0.25">
      <c r="A274" s="29"/>
      <c r="B274" s="29"/>
      <c r="C274" s="29"/>
      <c r="D274" s="30"/>
      <c r="E274" s="31"/>
      <c r="F274" s="31"/>
      <c r="G274" s="31"/>
      <c r="H274" s="31"/>
      <c r="I274" s="31"/>
      <c r="J274" s="31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34"/>
      <c r="AC274" s="33"/>
      <c r="AD274" s="33"/>
    </row>
    <row r="275" spans="1:30" x14ac:dyDescent="0.25">
      <c r="A275" s="29"/>
      <c r="B275" s="29"/>
      <c r="C275" s="29"/>
      <c r="D275" s="30"/>
      <c r="E275" s="31"/>
      <c r="F275" s="31"/>
      <c r="G275" s="31"/>
      <c r="H275" s="31"/>
      <c r="I275" s="31"/>
      <c r="J275" s="31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34"/>
      <c r="AC275" s="33"/>
      <c r="AD275" s="33"/>
    </row>
    <row r="276" spans="1:30" x14ac:dyDescent="0.25">
      <c r="A276" s="29"/>
      <c r="B276" s="29"/>
      <c r="C276" s="29"/>
      <c r="D276" s="30"/>
      <c r="E276" s="31"/>
      <c r="F276" s="31"/>
      <c r="G276" s="31"/>
      <c r="H276" s="31"/>
      <c r="I276" s="31"/>
      <c r="J276" s="31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34"/>
      <c r="AC276" s="33"/>
      <c r="AD276" s="33"/>
    </row>
    <row r="277" spans="1:30" x14ac:dyDescent="0.25">
      <c r="A277" s="29"/>
      <c r="B277" s="29"/>
      <c r="C277" s="29"/>
      <c r="D277" s="30"/>
      <c r="E277" s="31"/>
      <c r="F277" s="31"/>
      <c r="G277" s="31"/>
      <c r="H277" s="31"/>
      <c r="I277" s="31"/>
      <c r="J277" s="31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34"/>
      <c r="AC277" s="33"/>
      <c r="AD277" s="33"/>
    </row>
    <row r="278" spans="1:30" x14ac:dyDescent="0.25">
      <c r="A278" s="29"/>
      <c r="B278" s="29"/>
      <c r="C278" s="29"/>
      <c r="D278" s="30"/>
      <c r="E278" s="31"/>
      <c r="F278" s="31"/>
      <c r="G278" s="31"/>
      <c r="H278" s="31"/>
      <c r="I278" s="31"/>
      <c r="J278" s="31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34"/>
      <c r="AC278" s="33"/>
      <c r="AD278" s="33"/>
    </row>
    <row r="279" spans="1:30" x14ac:dyDescent="0.25">
      <c r="A279" s="29"/>
      <c r="B279" s="29"/>
      <c r="C279" s="29"/>
      <c r="D279" s="30"/>
      <c r="E279" s="31"/>
      <c r="F279" s="31"/>
      <c r="G279" s="31"/>
      <c r="H279" s="31"/>
      <c r="I279" s="31"/>
      <c r="J279" s="31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34"/>
      <c r="AC279" s="33"/>
      <c r="AD279" s="33"/>
    </row>
    <row r="280" spans="1:30" x14ac:dyDescent="0.25">
      <c r="A280" s="29"/>
      <c r="B280" s="29"/>
      <c r="C280" s="29"/>
      <c r="D280" s="30"/>
      <c r="E280" s="31"/>
      <c r="F280" s="31"/>
      <c r="G280" s="31"/>
      <c r="H280" s="31"/>
      <c r="I280" s="31"/>
      <c r="J280" s="31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34"/>
      <c r="AC280" s="33"/>
      <c r="AD280" s="33"/>
    </row>
    <row r="281" spans="1:30" x14ac:dyDescent="0.25">
      <c r="A281" s="29"/>
      <c r="B281" s="29"/>
      <c r="C281" s="29"/>
      <c r="D281" s="30"/>
      <c r="E281" s="31"/>
      <c r="F281" s="31"/>
      <c r="G281" s="31"/>
      <c r="H281" s="31"/>
      <c r="I281" s="31"/>
      <c r="J281" s="31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C281" s="33"/>
      <c r="AD281" s="33"/>
    </row>
    <row r="282" spans="1:30" x14ac:dyDescent="0.25">
      <c r="AC282" s="33"/>
      <c r="AD282" s="33"/>
    </row>
    <row r="283" spans="1:30" x14ac:dyDescent="0.25">
      <c r="AC283" s="33"/>
      <c r="AD283" s="33"/>
    </row>
    <row r="284" spans="1:30" x14ac:dyDescent="0.25">
      <c r="AC284" s="33"/>
      <c r="AD284" s="33"/>
    </row>
    <row r="285" spans="1:30" x14ac:dyDescent="0.25">
      <c r="AC285" s="33"/>
      <c r="AD285" s="33"/>
    </row>
    <row r="286" spans="1:30" x14ac:dyDescent="0.25">
      <c r="AC286" s="33"/>
      <c r="AD286" s="33"/>
    </row>
    <row r="287" spans="1:30" x14ac:dyDescent="0.25">
      <c r="AC287" s="33"/>
      <c r="AD287" s="33"/>
    </row>
    <row r="288" spans="1:30" x14ac:dyDescent="0.25">
      <c r="AC288" s="33"/>
      <c r="AD288" s="33"/>
    </row>
    <row r="289" spans="29:30" x14ac:dyDescent="0.25">
      <c r="AC289" s="33"/>
      <c r="AD289" s="33"/>
    </row>
    <row r="290" spans="29:30" x14ac:dyDescent="0.25">
      <c r="AC290" s="33"/>
      <c r="AD290" s="33"/>
    </row>
    <row r="291" spans="29:30" x14ac:dyDescent="0.25">
      <c r="AC291" s="33"/>
      <c r="AD291" s="33"/>
    </row>
    <row r="292" spans="29:30" x14ac:dyDescent="0.25">
      <c r="AC292" s="33"/>
      <c r="AD292" s="33"/>
    </row>
    <row r="293" spans="29:30" x14ac:dyDescent="0.25">
      <c r="AC293" s="33"/>
      <c r="AD293" s="33"/>
    </row>
    <row r="294" spans="29:30" x14ac:dyDescent="0.25">
      <c r="AC294" s="33"/>
      <c r="AD294" s="33"/>
    </row>
    <row r="295" spans="29:30" x14ac:dyDescent="0.25">
      <c r="AC295" s="33"/>
      <c r="AD295" s="33"/>
    </row>
    <row r="296" spans="29:30" x14ac:dyDescent="0.25">
      <c r="AC296" s="33"/>
      <c r="AD296" s="33"/>
    </row>
    <row r="297" spans="29:30" x14ac:dyDescent="0.25">
      <c r="AC297" s="33"/>
      <c r="AD297" s="33"/>
    </row>
    <row r="298" spans="29:30" x14ac:dyDescent="0.25">
      <c r="AC298" s="33"/>
      <c r="AD298" s="33"/>
    </row>
    <row r="299" spans="29:30" x14ac:dyDescent="0.25">
      <c r="AC299" s="33"/>
      <c r="AD299" s="33"/>
    </row>
    <row r="300" spans="29:30" x14ac:dyDescent="0.25">
      <c r="AC300" s="33"/>
      <c r="AD300" s="33"/>
    </row>
    <row r="301" spans="29:30" x14ac:dyDescent="0.25">
      <c r="AC301" s="33"/>
      <c r="AD301" s="33"/>
    </row>
    <row r="302" spans="29:30" x14ac:dyDescent="0.25">
      <c r="AC302" s="33"/>
      <c r="AD302" s="33"/>
    </row>
    <row r="303" spans="29:30" x14ac:dyDescent="0.25">
      <c r="AC303" s="33"/>
      <c r="AD303" s="33"/>
    </row>
    <row r="304" spans="29:30" x14ac:dyDescent="0.25">
      <c r="AC304" s="33"/>
      <c r="AD304" s="33"/>
    </row>
    <row r="305" spans="29:30" x14ac:dyDescent="0.25">
      <c r="AC305" s="33"/>
      <c r="AD305" s="33"/>
    </row>
    <row r="306" spans="29:30" x14ac:dyDescent="0.25">
      <c r="AC306" s="33"/>
      <c r="AD306" s="33"/>
    </row>
    <row r="307" spans="29:30" x14ac:dyDescent="0.25">
      <c r="AC307" s="33"/>
      <c r="AD307" s="33"/>
    </row>
    <row r="308" spans="29:30" x14ac:dyDescent="0.25">
      <c r="AC308" s="33"/>
      <c r="AD308" s="33"/>
    </row>
    <row r="309" spans="29:30" x14ac:dyDescent="0.25">
      <c r="AC309" s="33"/>
      <c r="AD309" s="33"/>
    </row>
    <row r="310" spans="29:30" x14ac:dyDescent="0.25">
      <c r="AC310" s="33"/>
      <c r="AD310" s="33"/>
    </row>
    <row r="311" spans="29:30" x14ac:dyDescent="0.25">
      <c r="AC311" s="33"/>
      <c r="AD311" s="33"/>
    </row>
    <row r="312" spans="29:30" x14ac:dyDescent="0.25">
      <c r="AC312" s="33"/>
      <c r="AD312" s="33"/>
    </row>
    <row r="313" spans="29:30" x14ac:dyDescent="0.25">
      <c r="AC313" s="33"/>
      <c r="AD313" s="33"/>
    </row>
    <row r="314" spans="29:30" x14ac:dyDescent="0.25">
      <c r="AC314" s="33"/>
      <c r="AD314" s="33"/>
    </row>
    <row r="315" spans="29:30" x14ac:dyDescent="0.25">
      <c r="AC315" s="33"/>
      <c r="AD315" s="33"/>
    </row>
    <row r="316" spans="29:30" x14ac:dyDescent="0.25">
      <c r="AC316" s="33"/>
      <c r="AD316" s="33"/>
    </row>
    <row r="317" spans="29:30" x14ac:dyDescent="0.25">
      <c r="AC317" s="33"/>
      <c r="AD317" s="33"/>
    </row>
    <row r="318" spans="29:30" x14ac:dyDescent="0.25">
      <c r="AC318" s="33"/>
      <c r="AD318" s="33"/>
    </row>
    <row r="319" spans="29:30" x14ac:dyDescent="0.25">
      <c r="AC319" s="33"/>
      <c r="AD319" s="33"/>
    </row>
    <row r="320" spans="29:30" x14ac:dyDescent="0.25">
      <c r="AC320" s="33"/>
      <c r="AD320" s="33"/>
    </row>
    <row r="321" spans="29:30" x14ac:dyDescent="0.25">
      <c r="AC321" s="33"/>
      <c r="AD321" s="33"/>
    </row>
    <row r="322" spans="29:30" x14ac:dyDescent="0.25">
      <c r="AC322" s="33"/>
      <c r="AD322" s="33"/>
    </row>
    <row r="323" spans="29:30" x14ac:dyDescent="0.25">
      <c r="AC323" s="33"/>
      <c r="AD323" s="33"/>
    </row>
    <row r="324" spans="29:30" x14ac:dyDescent="0.25">
      <c r="AC324" s="33"/>
      <c r="AD324" s="33"/>
    </row>
    <row r="325" spans="29:30" x14ac:dyDescent="0.25">
      <c r="AC325" s="33"/>
      <c r="AD325" s="33"/>
    </row>
    <row r="326" spans="29:30" x14ac:dyDescent="0.25">
      <c r="AC326" s="33"/>
      <c r="AD326" s="33"/>
    </row>
    <row r="327" spans="29:30" x14ac:dyDescent="0.25">
      <c r="AC327" s="33"/>
      <c r="AD327" s="33"/>
    </row>
    <row r="328" spans="29:30" x14ac:dyDescent="0.25">
      <c r="AC328" s="33"/>
      <c r="AD328" s="33"/>
    </row>
    <row r="329" spans="29:30" x14ac:dyDescent="0.25">
      <c r="AC329" s="33"/>
      <c r="AD329" s="33"/>
    </row>
    <row r="330" spans="29:30" x14ac:dyDescent="0.25">
      <c r="AC330" s="33"/>
      <c r="AD330" s="33"/>
    </row>
    <row r="331" spans="29:30" x14ac:dyDescent="0.25">
      <c r="AC331" s="33"/>
      <c r="AD331" s="33"/>
    </row>
    <row r="332" spans="29:30" x14ac:dyDescent="0.25">
      <c r="AC332" s="33"/>
      <c r="AD332" s="33"/>
    </row>
    <row r="333" spans="29:30" x14ac:dyDescent="0.25">
      <c r="AC333" s="33"/>
      <c r="AD333" s="33"/>
    </row>
    <row r="334" spans="29:30" x14ac:dyDescent="0.25">
      <c r="AC334" s="33"/>
      <c r="AD334" s="33"/>
    </row>
    <row r="335" spans="29:30" x14ac:dyDescent="0.25">
      <c r="AC335" s="33"/>
      <c r="AD335" s="33"/>
    </row>
    <row r="336" spans="29:30" x14ac:dyDescent="0.25">
      <c r="AC336" s="33"/>
      <c r="AD336" s="33"/>
    </row>
    <row r="337" spans="29:30" x14ac:dyDescent="0.25">
      <c r="AC337" s="33"/>
      <c r="AD337" s="33"/>
    </row>
    <row r="338" spans="29:30" x14ac:dyDescent="0.25">
      <c r="AC338" s="33"/>
      <c r="AD338" s="33"/>
    </row>
    <row r="339" spans="29:30" x14ac:dyDescent="0.25">
      <c r="AC339" s="33"/>
      <c r="AD339" s="33"/>
    </row>
    <row r="340" spans="29:30" x14ac:dyDescent="0.25">
      <c r="AC340" s="33"/>
      <c r="AD340" s="33"/>
    </row>
    <row r="341" spans="29:30" x14ac:dyDescent="0.25">
      <c r="AC341" s="33"/>
      <c r="AD341" s="33"/>
    </row>
    <row r="342" spans="29:30" x14ac:dyDescent="0.25">
      <c r="AC342" s="33"/>
      <c r="AD342" s="33"/>
    </row>
    <row r="343" spans="29:30" x14ac:dyDescent="0.25">
      <c r="AC343" s="33"/>
      <c r="AD343" s="33"/>
    </row>
    <row r="344" spans="29:30" x14ac:dyDescent="0.25">
      <c r="AC344" s="33"/>
      <c r="AD344" s="33"/>
    </row>
    <row r="345" spans="29:30" x14ac:dyDescent="0.25">
      <c r="AC345" s="33"/>
      <c r="AD345" s="33"/>
    </row>
    <row r="346" spans="29:30" x14ac:dyDescent="0.25">
      <c r="AC346" s="33"/>
      <c r="AD346" s="33"/>
    </row>
    <row r="347" spans="29:30" x14ac:dyDescent="0.25">
      <c r="AC347" s="33"/>
      <c r="AD347" s="33"/>
    </row>
    <row r="348" spans="29:30" x14ac:dyDescent="0.25">
      <c r="AC348" s="33"/>
      <c r="AD348" s="33"/>
    </row>
    <row r="349" spans="29:30" x14ac:dyDescent="0.25">
      <c r="AC349" s="33"/>
      <c r="AD349" s="33"/>
    </row>
    <row r="350" spans="29:30" x14ac:dyDescent="0.25">
      <c r="AC350" s="33"/>
      <c r="AD350" s="33"/>
    </row>
    <row r="351" spans="29:30" x14ac:dyDescent="0.25">
      <c r="AC351" s="33"/>
      <c r="AD351" s="33"/>
    </row>
    <row r="352" spans="29:30" x14ac:dyDescent="0.25">
      <c r="AC352" s="33"/>
      <c r="AD352" s="33"/>
    </row>
    <row r="353" spans="29:30" x14ac:dyDescent="0.25">
      <c r="AC353" s="33"/>
      <c r="AD353" s="33"/>
    </row>
    <row r="354" spans="29:30" x14ac:dyDescent="0.25">
      <c r="AC354" s="33"/>
      <c r="AD354" s="33"/>
    </row>
    <row r="355" spans="29:30" x14ac:dyDescent="0.25">
      <c r="AC355" s="33"/>
      <c r="AD355" s="33"/>
    </row>
    <row r="356" spans="29:30" x14ac:dyDescent="0.25">
      <c r="AC356" s="33"/>
      <c r="AD356" s="33"/>
    </row>
    <row r="357" spans="29:30" x14ac:dyDescent="0.25">
      <c r="AC357" s="33"/>
      <c r="AD357" s="33"/>
    </row>
    <row r="358" spans="29:30" x14ac:dyDescent="0.25">
      <c r="AC358" s="33"/>
      <c r="AD358" s="33"/>
    </row>
    <row r="359" spans="29:30" x14ac:dyDescent="0.25">
      <c r="AC359" s="33"/>
      <c r="AD359" s="33"/>
    </row>
    <row r="360" spans="29:30" x14ac:dyDescent="0.25">
      <c r="AC360" s="33"/>
      <c r="AD360" s="33"/>
    </row>
    <row r="361" spans="29:30" x14ac:dyDescent="0.25">
      <c r="AC361" s="33"/>
      <c r="AD361" s="33"/>
    </row>
    <row r="362" spans="29:30" x14ac:dyDescent="0.25">
      <c r="AC362" s="33"/>
      <c r="AD362" s="33"/>
    </row>
    <row r="363" spans="29:30" x14ac:dyDescent="0.25">
      <c r="AC363" s="33"/>
      <c r="AD363" s="33"/>
    </row>
    <row r="364" spans="29:30" x14ac:dyDescent="0.25">
      <c r="AC364" s="33"/>
      <c r="AD364" s="33"/>
    </row>
    <row r="365" spans="29:30" x14ac:dyDescent="0.25">
      <c r="AC365" s="33"/>
      <c r="AD365" s="33"/>
    </row>
    <row r="366" spans="29:30" x14ac:dyDescent="0.25">
      <c r="AC366" s="33"/>
      <c r="AD366" s="33"/>
    </row>
    <row r="367" spans="29:30" x14ac:dyDescent="0.25">
      <c r="AC367" s="33"/>
      <c r="AD367" s="33"/>
    </row>
    <row r="368" spans="29:30" x14ac:dyDescent="0.25">
      <c r="AC368" s="33"/>
      <c r="AD368" s="33"/>
    </row>
    <row r="369" spans="29:30" x14ac:dyDescent="0.25">
      <c r="AC369" s="33"/>
      <c r="AD369" s="33"/>
    </row>
    <row r="370" spans="29:30" x14ac:dyDescent="0.25">
      <c r="AC370" s="33"/>
      <c r="AD370" s="33"/>
    </row>
    <row r="371" spans="29:30" x14ac:dyDescent="0.25">
      <c r="AC371" s="33"/>
      <c r="AD371" s="33"/>
    </row>
    <row r="372" spans="29:30" x14ac:dyDescent="0.25">
      <c r="AC372" s="33"/>
      <c r="AD372" s="33"/>
    </row>
    <row r="373" spans="29:30" x14ac:dyDescent="0.25">
      <c r="AC373" s="33"/>
      <c r="AD373" s="33"/>
    </row>
    <row r="374" spans="29:30" x14ac:dyDescent="0.25">
      <c r="AC374" s="33"/>
      <c r="AD374" s="33"/>
    </row>
    <row r="375" spans="29:30" x14ac:dyDescent="0.25">
      <c r="AC375" s="33"/>
      <c r="AD375" s="33"/>
    </row>
    <row r="376" spans="29:30" x14ac:dyDescent="0.25">
      <c r="AC376" s="33"/>
      <c r="AD376" s="33"/>
    </row>
    <row r="377" spans="29:30" x14ac:dyDescent="0.25">
      <c r="AC377" s="33"/>
      <c r="AD377" s="33"/>
    </row>
    <row r="378" spans="29:30" x14ac:dyDescent="0.25">
      <c r="AC378" s="33"/>
      <c r="AD378" s="33"/>
    </row>
    <row r="379" spans="29:30" x14ac:dyDescent="0.25">
      <c r="AC379" s="33"/>
      <c r="AD379" s="33"/>
    </row>
    <row r="380" spans="29:30" x14ac:dyDescent="0.25">
      <c r="AC380" s="33"/>
      <c r="AD380" s="33"/>
    </row>
    <row r="381" spans="29:30" x14ac:dyDescent="0.25">
      <c r="AC381" s="33"/>
      <c r="AD381" s="33"/>
    </row>
    <row r="382" spans="29:30" x14ac:dyDescent="0.25">
      <c r="AC382" s="33"/>
      <c r="AD382" s="33"/>
    </row>
    <row r="383" spans="29:30" x14ac:dyDescent="0.25">
      <c r="AC383" s="33"/>
      <c r="AD383" s="33"/>
    </row>
    <row r="384" spans="29:30" x14ac:dyDescent="0.25">
      <c r="AC384" s="33"/>
      <c r="AD384" s="33"/>
    </row>
    <row r="385" spans="29:30" x14ac:dyDescent="0.25">
      <c r="AC385" s="33"/>
      <c r="AD385" s="33"/>
    </row>
    <row r="386" spans="29:30" x14ac:dyDescent="0.25">
      <c r="AC386" s="33"/>
      <c r="AD386" s="33"/>
    </row>
    <row r="387" spans="29:30" x14ac:dyDescent="0.25">
      <c r="AC387" s="33"/>
      <c r="AD387" s="33"/>
    </row>
    <row r="388" spans="29:30" x14ac:dyDescent="0.25">
      <c r="AC388" s="33"/>
      <c r="AD388" s="33"/>
    </row>
    <row r="389" spans="29:30" x14ac:dyDescent="0.25">
      <c r="AC389" s="33"/>
      <c r="AD389" s="33"/>
    </row>
    <row r="390" spans="29:30" x14ac:dyDescent="0.25">
      <c r="AC390" s="33"/>
      <c r="AD390" s="33"/>
    </row>
    <row r="391" spans="29:30" x14ac:dyDescent="0.25">
      <c r="AC391" s="33"/>
      <c r="AD391" s="33"/>
    </row>
    <row r="392" spans="29:30" x14ac:dyDescent="0.25">
      <c r="AC392" s="33"/>
      <c r="AD392" s="33"/>
    </row>
    <row r="393" spans="29:30" x14ac:dyDescent="0.25">
      <c r="AC393" s="33"/>
      <c r="AD393" s="33"/>
    </row>
    <row r="394" spans="29:30" x14ac:dyDescent="0.25">
      <c r="AC394" s="33"/>
      <c r="AD394" s="33"/>
    </row>
    <row r="395" spans="29:30" x14ac:dyDescent="0.25">
      <c r="AC395" s="33"/>
      <c r="AD395" s="33"/>
    </row>
    <row r="396" spans="29:30" x14ac:dyDescent="0.25">
      <c r="AC396" s="33"/>
      <c r="AD396" s="33"/>
    </row>
    <row r="397" spans="29:30" x14ac:dyDescent="0.25">
      <c r="AC397" s="33"/>
      <c r="AD397" s="33"/>
    </row>
    <row r="398" spans="29:30" x14ac:dyDescent="0.25">
      <c r="AC398" s="33"/>
      <c r="AD398" s="33"/>
    </row>
    <row r="399" spans="29:30" x14ac:dyDescent="0.25">
      <c r="AC399" s="33"/>
      <c r="AD399" s="33"/>
    </row>
    <row r="400" spans="29:30" x14ac:dyDescent="0.25">
      <c r="AC400" s="33"/>
      <c r="AD400" s="33"/>
    </row>
    <row r="401" spans="29:30" x14ac:dyDescent="0.25">
      <c r="AC401" s="33"/>
      <c r="AD401" s="33"/>
    </row>
    <row r="402" spans="29:30" x14ac:dyDescent="0.25">
      <c r="AC402" s="33"/>
      <c r="AD402" s="33"/>
    </row>
    <row r="403" spans="29:30" x14ac:dyDescent="0.25">
      <c r="AC403" s="33"/>
      <c r="AD403" s="33"/>
    </row>
    <row r="404" spans="29:30" x14ac:dyDescent="0.25">
      <c r="AC404" s="33"/>
      <c r="AD404" s="33"/>
    </row>
    <row r="405" spans="29:30" x14ac:dyDescent="0.25">
      <c r="AC405" s="33"/>
      <c r="AD405" s="33"/>
    </row>
    <row r="406" spans="29:30" x14ac:dyDescent="0.25">
      <c r="AC406" s="33"/>
      <c r="AD406" s="33"/>
    </row>
    <row r="407" spans="29:30" x14ac:dyDescent="0.25">
      <c r="AC407" s="33"/>
      <c r="AD407" s="33"/>
    </row>
    <row r="408" spans="29:30" x14ac:dyDescent="0.25">
      <c r="AC408" s="33"/>
      <c r="AD408" s="33"/>
    </row>
    <row r="409" spans="29:30" x14ac:dyDescent="0.25">
      <c r="AC409" s="33"/>
      <c r="AD409" s="33"/>
    </row>
    <row r="410" spans="29:30" x14ac:dyDescent="0.25">
      <c r="AC410" s="33"/>
      <c r="AD410" s="33"/>
    </row>
    <row r="411" spans="29:30" x14ac:dyDescent="0.25">
      <c r="AC411" s="33"/>
      <c r="AD411" s="33"/>
    </row>
    <row r="412" spans="29:30" x14ac:dyDescent="0.25">
      <c r="AC412" s="33"/>
      <c r="AD412" s="33"/>
    </row>
    <row r="413" spans="29:30" x14ac:dyDescent="0.25">
      <c r="AC413" s="33"/>
      <c r="AD413" s="33"/>
    </row>
    <row r="414" spans="29:30" x14ac:dyDescent="0.25">
      <c r="AC414" s="33"/>
      <c r="AD414" s="33"/>
    </row>
    <row r="415" spans="29:30" x14ac:dyDescent="0.25">
      <c r="AC415" s="33"/>
      <c r="AD415" s="33"/>
    </row>
    <row r="416" spans="29:30" x14ac:dyDescent="0.25">
      <c r="AC416" s="33"/>
      <c r="AD416" s="33"/>
    </row>
    <row r="417" spans="29:30" x14ac:dyDescent="0.25">
      <c r="AC417" s="33"/>
      <c r="AD417" s="33"/>
    </row>
    <row r="418" spans="29:30" x14ac:dyDescent="0.25">
      <c r="AC418" s="33"/>
      <c r="AD418" s="33"/>
    </row>
    <row r="419" spans="29:30" x14ac:dyDescent="0.25">
      <c r="AC419" s="33"/>
      <c r="AD419" s="33"/>
    </row>
    <row r="420" spans="29:30" x14ac:dyDescent="0.25">
      <c r="AC420" s="33"/>
      <c r="AD420" s="33"/>
    </row>
    <row r="421" spans="29:30" x14ac:dyDescent="0.25">
      <c r="AC421" s="33"/>
      <c r="AD421" s="33"/>
    </row>
    <row r="422" spans="29:30" x14ac:dyDescent="0.25">
      <c r="AC422" s="33"/>
      <c r="AD422" s="33"/>
    </row>
    <row r="423" spans="29:30" x14ac:dyDescent="0.25">
      <c r="AC423" s="33"/>
      <c r="AD423" s="33"/>
    </row>
    <row r="424" spans="29:30" x14ac:dyDescent="0.25">
      <c r="AC424" s="33"/>
      <c r="AD424" s="33"/>
    </row>
    <row r="425" spans="29:30" x14ac:dyDescent="0.25">
      <c r="AC425" s="33"/>
      <c r="AD425" s="33"/>
    </row>
    <row r="426" spans="29:30" x14ac:dyDescent="0.25">
      <c r="AC426" s="33"/>
      <c r="AD426" s="33"/>
    </row>
    <row r="427" spans="29:30" x14ac:dyDescent="0.25">
      <c r="AC427" s="33"/>
      <c r="AD427" s="33"/>
    </row>
    <row r="428" spans="29:30" x14ac:dyDescent="0.25">
      <c r="AC428" s="33"/>
      <c r="AD428" s="33"/>
    </row>
    <row r="429" spans="29:30" x14ac:dyDescent="0.25">
      <c r="AC429" s="33"/>
      <c r="AD429" s="33"/>
    </row>
    <row r="430" spans="29:30" x14ac:dyDescent="0.25">
      <c r="AC430" s="33"/>
      <c r="AD430" s="33"/>
    </row>
    <row r="431" spans="29:30" x14ac:dyDescent="0.25">
      <c r="AC431" s="33"/>
      <c r="AD431" s="33"/>
    </row>
    <row r="432" spans="29:30" x14ac:dyDescent="0.25">
      <c r="AC432" s="33"/>
      <c r="AD432" s="33"/>
    </row>
    <row r="433" spans="29:30" x14ac:dyDescent="0.25">
      <c r="AC433" s="33"/>
      <c r="AD433" s="33"/>
    </row>
    <row r="434" spans="29:30" x14ac:dyDescent="0.25">
      <c r="AC434" s="33"/>
      <c r="AD434" s="33"/>
    </row>
    <row r="435" spans="29:30" x14ac:dyDescent="0.25">
      <c r="AC435" s="33"/>
      <c r="AD435" s="33"/>
    </row>
    <row r="436" spans="29:30" x14ac:dyDescent="0.25">
      <c r="AC436" s="33"/>
      <c r="AD436" s="33"/>
    </row>
    <row r="437" spans="29:30" x14ac:dyDescent="0.25">
      <c r="AC437" s="33"/>
      <c r="AD437" s="33"/>
    </row>
    <row r="438" spans="29:30" x14ac:dyDescent="0.25">
      <c r="AC438" s="33"/>
      <c r="AD438" s="33"/>
    </row>
    <row r="439" spans="29:30" x14ac:dyDescent="0.25">
      <c r="AC439" s="33"/>
      <c r="AD439" s="33"/>
    </row>
    <row r="440" spans="29:30" x14ac:dyDescent="0.25">
      <c r="AC440" s="33"/>
      <c r="AD440" s="33"/>
    </row>
    <row r="441" spans="29:30" x14ac:dyDescent="0.25">
      <c r="AC441" s="33"/>
      <c r="AD441" s="33"/>
    </row>
    <row r="442" spans="29:30" x14ac:dyDescent="0.25">
      <c r="AC442" s="33"/>
      <c r="AD442" s="33"/>
    </row>
    <row r="443" spans="29:30" x14ac:dyDescent="0.25">
      <c r="AC443" s="33"/>
      <c r="AD443" s="33"/>
    </row>
    <row r="444" spans="29:30" x14ac:dyDescent="0.25">
      <c r="AC444" s="33"/>
      <c r="AD444" s="33"/>
    </row>
    <row r="445" spans="29:30" x14ac:dyDescent="0.25">
      <c r="AC445" s="33"/>
      <c r="AD445" s="33"/>
    </row>
    <row r="446" spans="29:30" x14ac:dyDescent="0.25">
      <c r="AC446" s="33"/>
      <c r="AD446" s="33"/>
    </row>
    <row r="447" spans="29:30" x14ac:dyDescent="0.25">
      <c r="AC447" s="33"/>
      <c r="AD447" s="33"/>
    </row>
    <row r="448" spans="29:30" x14ac:dyDescent="0.25">
      <c r="AC448" s="33"/>
      <c r="AD448" s="33"/>
    </row>
    <row r="449" spans="29:30" x14ac:dyDescent="0.25">
      <c r="AC449" s="33"/>
      <c r="AD449" s="33"/>
    </row>
    <row r="450" spans="29:30" x14ac:dyDescent="0.25">
      <c r="AC450" s="33"/>
      <c r="AD450" s="33"/>
    </row>
    <row r="451" spans="29:30" x14ac:dyDescent="0.25">
      <c r="AC451" s="33"/>
      <c r="AD451" s="33"/>
    </row>
    <row r="452" spans="29:30" x14ac:dyDescent="0.25">
      <c r="AC452" s="33"/>
      <c r="AD452" s="33"/>
    </row>
    <row r="453" spans="29:30" x14ac:dyDescent="0.25">
      <c r="AC453" s="33"/>
      <c r="AD453" s="33"/>
    </row>
    <row r="454" spans="29:30" x14ac:dyDescent="0.25">
      <c r="AC454" s="33"/>
      <c r="AD454" s="33"/>
    </row>
    <row r="455" spans="29:30" x14ac:dyDescent="0.25">
      <c r="AC455" s="33"/>
      <c r="AD455" s="33"/>
    </row>
    <row r="456" spans="29:30" x14ac:dyDescent="0.25">
      <c r="AC456" s="33"/>
      <c r="AD456" s="33"/>
    </row>
    <row r="457" spans="29:30" x14ac:dyDescent="0.25">
      <c r="AC457" s="33"/>
      <c r="AD457" s="33"/>
    </row>
    <row r="458" spans="29:30" x14ac:dyDescent="0.25">
      <c r="AC458" s="33"/>
      <c r="AD458" s="33"/>
    </row>
    <row r="459" spans="29:30" x14ac:dyDescent="0.25">
      <c r="AC459" s="33"/>
      <c r="AD459" s="33"/>
    </row>
    <row r="460" spans="29:30" x14ac:dyDescent="0.25">
      <c r="AC460" s="33"/>
      <c r="AD460" s="33"/>
    </row>
    <row r="461" spans="29:30" x14ac:dyDescent="0.25">
      <c r="AC461" s="33"/>
      <c r="AD461" s="33"/>
    </row>
    <row r="462" spans="29:30" x14ac:dyDescent="0.25">
      <c r="AC462" s="33"/>
      <c r="AD462" s="33"/>
    </row>
    <row r="463" spans="29:30" x14ac:dyDescent="0.25">
      <c r="AC463" s="33"/>
      <c r="AD463" s="33"/>
    </row>
    <row r="464" spans="29:30" x14ac:dyDescent="0.25">
      <c r="AC464" s="33"/>
      <c r="AD464" s="33"/>
    </row>
    <row r="465" spans="29:30" x14ac:dyDescent="0.25">
      <c r="AC465" s="33"/>
      <c r="AD465" s="33"/>
    </row>
    <row r="466" spans="29:30" x14ac:dyDescent="0.25">
      <c r="AC466" s="33"/>
      <c r="AD466" s="33"/>
    </row>
    <row r="467" spans="29:30" x14ac:dyDescent="0.25">
      <c r="AC467" s="33"/>
      <c r="AD467" s="33"/>
    </row>
    <row r="468" spans="29:30" x14ac:dyDescent="0.25">
      <c r="AC468" s="33"/>
      <c r="AD468" s="33"/>
    </row>
    <row r="469" spans="29:30" x14ac:dyDescent="0.25">
      <c r="AC469" s="33"/>
      <c r="AD469" s="33"/>
    </row>
    <row r="470" spans="29:30" x14ac:dyDescent="0.25">
      <c r="AC470" s="33"/>
      <c r="AD470" s="33"/>
    </row>
    <row r="471" spans="29:30" x14ac:dyDescent="0.25">
      <c r="AC471" s="33"/>
      <c r="AD471" s="33"/>
    </row>
    <row r="472" spans="29:30" x14ac:dyDescent="0.25">
      <c r="AC472" s="33"/>
      <c r="AD472" s="33"/>
    </row>
    <row r="473" spans="29:30" x14ac:dyDescent="0.25">
      <c r="AC473" s="33"/>
      <c r="AD473" s="33"/>
    </row>
    <row r="474" spans="29:30" x14ac:dyDescent="0.25">
      <c r="AC474" s="33"/>
      <c r="AD474" s="33"/>
    </row>
    <row r="475" spans="29:30" x14ac:dyDescent="0.25">
      <c r="AC475" s="33"/>
      <c r="AD475" s="33"/>
    </row>
    <row r="476" spans="29:30" x14ac:dyDescent="0.25">
      <c r="AC476" s="33"/>
      <c r="AD476" s="33"/>
    </row>
    <row r="477" spans="29:30" x14ac:dyDescent="0.25">
      <c r="AC477" s="33"/>
      <c r="AD477" s="33"/>
    </row>
    <row r="478" spans="29:30" x14ac:dyDescent="0.25">
      <c r="AC478" s="33"/>
      <c r="AD478" s="33"/>
    </row>
    <row r="479" spans="29:30" x14ac:dyDescent="0.25">
      <c r="AC479" s="33"/>
      <c r="AD479" s="33"/>
    </row>
    <row r="480" spans="29:30" x14ac:dyDescent="0.25">
      <c r="AC480" s="33"/>
      <c r="AD480" s="33"/>
    </row>
    <row r="481" spans="29:30" x14ac:dyDescent="0.25">
      <c r="AC481" s="33"/>
      <c r="AD481" s="33"/>
    </row>
    <row r="482" spans="29:30" x14ac:dyDescent="0.25">
      <c r="AC482" s="33"/>
      <c r="AD482" s="33"/>
    </row>
    <row r="483" spans="29:30" x14ac:dyDescent="0.25">
      <c r="AC483" s="33"/>
      <c r="AD483" s="33"/>
    </row>
    <row r="484" spans="29:30" x14ac:dyDescent="0.25">
      <c r="AC484" s="33"/>
      <c r="AD484" s="33"/>
    </row>
    <row r="485" spans="29:30" x14ac:dyDescent="0.25">
      <c r="AC485" s="33"/>
      <c r="AD485" s="33"/>
    </row>
    <row r="486" spans="29:30" x14ac:dyDescent="0.25">
      <c r="AC486" s="33"/>
      <c r="AD486" s="33"/>
    </row>
    <row r="487" spans="29:30" x14ac:dyDescent="0.25">
      <c r="AC487" s="33"/>
      <c r="AD487" s="33"/>
    </row>
    <row r="488" spans="29:30" x14ac:dyDescent="0.25">
      <c r="AC488" s="33"/>
      <c r="AD488" s="33"/>
    </row>
    <row r="489" spans="29:30" x14ac:dyDescent="0.25">
      <c r="AC489" s="33"/>
      <c r="AD489" s="33"/>
    </row>
    <row r="490" spans="29:30" x14ac:dyDescent="0.25">
      <c r="AC490" s="33"/>
      <c r="AD490" s="33"/>
    </row>
    <row r="491" spans="29:30" x14ac:dyDescent="0.25">
      <c r="AC491" s="33"/>
      <c r="AD491" s="33"/>
    </row>
    <row r="492" spans="29:30" x14ac:dyDescent="0.25">
      <c r="AC492" s="33"/>
      <c r="AD492" s="33"/>
    </row>
    <row r="493" spans="29:30" x14ac:dyDescent="0.25">
      <c r="AC493" s="33"/>
      <c r="AD493" s="33"/>
    </row>
    <row r="494" spans="29:30" x14ac:dyDescent="0.25">
      <c r="AC494" s="33"/>
      <c r="AD494" s="33"/>
    </row>
    <row r="495" spans="29:30" x14ac:dyDescent="0.25">
      <c r="AC495" s="33"/>
      <c r="AD495" s="33"/>
    </row>
    <row r="496" spans="29:30" x14ac:dyDescent="0.25">
      <c r="AC496" s="33"/>
      <c r="AD496" s="33"/>
    </row>
    <row r="497" spans="29:30" x14ac:dyDescent="0.25">
      <c r="AC497" s="33"/>
      <c r="AD497" s="33"/>
    </row>
    <row r="498" spans="29:30" x14ac:dyDescent="0.25">
      <c r="AC498" s="33"/>
      <c r="AD498" s="33"/>
    </row>
    <row r="499" spans="29:30" x14ac:dyDescent="0.25">
      <c r="AC499" s="33"/>
      <c r="AD499" s="33"/>
    </row>
    <row r="500" spans="29:30" x14ac:dyDescent="0.25">
      <c r="AC500" s="33"/>
      <c r="AD500" s="33"/>
    </row>
    <row r="501" spans="29:30" x14ac:dyDescent="0.25">
      <c r="AC501" s="33"/>
      <c r="AD501" s="33"/>
    </row>
    <row r="502" spans="29:30" x14ac:dyDescent="0.25">
      <c r="AC502" s="33"/>
      <c r="AD502" s="33"/>
    </row>
    <row r="503" spans="29:30" x14ac:dyDescent="0.25">
      <c r="AC503" s="33"/>
      <c r="AD503" s="33"/>
    </row>
    <row r="504" spans="29:30" x14ac:dyDescent="0.25">
      <c r="AC504" s="33"/>
      <c r="AD504" s="33"/>
    </row>
    <row r="505" spans="29:30" x14ac:dyDescent="0.25">
      <c r="AC505" s="33"/>
      <c r="AD505" s="33"/>
    </row>
    <row r="506" spans="29:30" x14ac:dyDescent="0.25">
      <c r="AC506" s="33"/>
      <c r="AD506" s="33"/>
    </row>
    <row r="507" spans="29:30" x14ac:dyDescent="0.25">
      <c r="AC507" s="33"/>
      <c r="AD507" s="33"/>
    </row>
    <row r="508" spans="29:30" x14ac:dyDescent="0.25">
      <c r="AC508" s="33"/>
      <c r="AD508" s="33"/>
    </row>
    <row r="509" spans="29:30" x14ac:dyDescent="0.25">
      <c r="AC509" s="33"/>
      <c r="AD509" s="33"/>
    </row>
    <row r="510" spans="29:30" x14ac:dyDescent="0.25">
      <c r="AC510" s="33"/>
      <c r="AD510" s="33"/>
    </row>
    <row r="511" spans="29:30" x14ac:dyDescent="0.25">
      <c r="AC511" s="33"/>
      <c r="AD511" s="33"/>
    </row>
    <row r="512" spans="29:30" x14ac:dyDescent="0.25">
      <c r="AC512" s="33"/>
      <c r="AD512" s="33"/>
    </row>
    <row r="513" spans="29:30" x14ac:dyDescent="0.25">
      <c r="AC513" s="33"/>
      <c r="AD513" s="33"/>
    </row>
    <row r="514" spans="29:30" x14ac:dyDescent="0.25">
      <c r="AC514" s="33"/>
      <c r="AD514" s="33"/>
    </row>
    <row r="515" spans="29:30" x14ac:dyDescent="0.25">
      <c r="AC515" s="33"/>
      <c r="AD515" s="33"/>
    </row>
    <row r="516" spans="29:30" x14ac:dyDescent="0.25">
      <c r="AC516" s="33"/>
      <c r="AD516" s="33"/>
    </row>
    <row r="517" spans="29:30" x14ac:dyDescent="0.25">
      <c r="AC517" s="33"/>
      <c r="AD517" s="33"/>
    </row>
    <row r="518" spans="29:30" x14ac:dyDescent="0.25">
      <c r="AC518" s="33"/>
      <c r="AD518" s="33"/>
    </row>
    <row r="519" spans="29:30" x14ac:dyDescent="0.25">
      <c r="AC519" s="33"/>
      <c r="AD519" s="33"/>
    </row>
    <row r="520" spans="29:30" x14ac:dyDescent="0.25">
      <c r="AC520" s="33"/>
      <c r="AD520" s="33"/>
    </row>
    <row r="521" spans="29:30" x14ac:dyDescent="0.25">
      <c r="AC521" s="33"/>
      <c r="AD521" s="33"/>
    </row>
    <row r="522" spans="29:30" x14ac:dyDescent="0.25">
      <c r="AC522" s="33"/>
      <c r="AD522" s="33"/>
    </row>
    <row r="523" spans="29:30" x14ac:dyDescent="0.25">
      <c r="AC523" s="33"/>
      <c r="AD523" s="33"/>
    </row>
    <row r="524" spans="29:30" x14ac:dyDescent="0.25">
      <c r="AC524" s="33"/>
      <c r="AD524" s="33"/>
    </row>
    <row r="525" spans="29:30" x14ac:dyDescent="0.25">
      <c r="AC525" s="33"/>
      <c r="AD525" s="33"/>
    </row>
    <row r="526" spans="29:30" x14ac:dyDescent="0.25">
      <c r="AC526" s="33"/>
      <c r="AD526" s="33"/>
    </row>
    <row r="527" spans="29:30" x14ac:dyDescent="0.25">
      <c r="AC527" s="33"/>
      <c r="AD527" s="33"/>
    </row>
    <row r="528" spans="29:30" x14ac:dyDescent="0.25">
      <c r="AC528" s="33"/>
      <c r="AD528" s="33"/>
    </row>
    <row r="529" spans="29:30" x14ac:dyDescent="0.25">
      <c r="AC529" s="33"/>
      <c r="AD529" s="33"/>
    </row>
    <row r="530" spans="29:30" x14ac:dyDescent="0.25">
      <c r="AC530" s="33"/>
      <c r="AD530" s="33"/>
    </row>
    <row r="531" spans="29:30" x14ac:dyDescent="0.25">
      <c r="AC531" s="33"/>
      <c r="AD531" s="33"/>
    </row>
    <row r="532" spans="29:30" x14ac:dyDescent="0.25">
      <c r="AC532" s="33"/>
      <c r="AD532" s="33"/>
    </row>
    <row r="533" spans="29:30" x14ac:dyDescent="0.25">
      <c r="AC533" s="33"/>
      <c r="AD533" s="33"/>
    </row>
    <row r="534" spans="29:30" x14ac:dyDescent="0.25">
      <c r="AC534" s="33"/>
      <c r="AD534" s="33"/>
    </row>
    <row r="535" spans="29:30" x14ac:dyDescent="0.25">
      <c r="AC535" s="33"/>
      <c r="AD535" s="33"/>
    </row>
    <row r="536" spans="29:30" x14ac:dyDescent="0.25">
      <c r="AC536" s="33"/>
      <c r="AD536" s="33"/>
    </row>
    <row r="537" spans="29:30" x14ac:dyDescent="0.25">
      <c r="AC537" s="33"/>
      <c r="AD537" s="33"/>
    </row>
    <row r="538" spans="29:30" x14ac:dyDescent="0.25">
      <c r="AC538" s="33"/>
      <c r="AD538" s="33"/>
    </row>
    <row r="539" spans="29:30" x14ac:dyDescent="0.25">
      <c r="AC539" s="33"/>
      <c r="AD539" s="33"/>
    </row>
    <row r="540" spans="29:30" x14ac:dyDescent="0.25">
      <c r="AC540" s="33"/>
      <c r="AD540" s="33"/>
    </row>
    <row r="541" spans="29:30" x14ac:dyDescent="0.25">
      <c r="AC541" s="33"/>
      <c r="AD541" s="33"/>
    </row>
    <row r="542" spans="29:30" x14ac:dyDescent="0.25">
      <c r="AC542" s="33"/>
      <c r="AD542" s="33"/>
    </row>
    <row r="543" spans="29:30" x14ac:dyDescent="0.25">
      <c r="AC543" s="33"/>
      <c r="AD543" s="33"/>
    </row>
    <row r="544" spans="29:30" x14ac:dyDescent="0.25">
      <c r="AC544" s="33"/>
      <c r="AD544" s="33"/>
    </row>
    <row r="545" spans="29:30" x14ac:dyDescent="0.25">
      <c r="AC545" s="33"/>
      <c r="AD545" s="33"/>
    </row>
    <row r="546" spans="29:30" x14ac:dyDescent="0.25">
      <c r="AC546" s="33"/>
      <c r="AD546" s="33"/>
    </row>
    <row r="547" spans="29:30" x14ac:dyDescent="0.25">
      <c r="AC547" s="33"/>
      <c r="AD547" s="33"/>
    </row>
    <row r="548" spans="29:30" x14ac:dyDescent="0.25">
      <c r="AC548" s="33"/>
      <c r="AD548" s="33"/>
    </row>
    <row r="549" spans="29:30" x14ac:dyDescent="0.25">
      <c r="AC549" s="33"/>
      <c r="AD549" s="33"/>
    </row>
    <row r="550" spans="29:30" x14ac:dyDescent="0.25">
      <c r="AC550" s="33"/>
      <c r="AD550" s="33"/>
    </row>
    <row r="551" spans="29:30" x14ac:dyDescent="0.25">
      <c r="AC551" s="33"/>
      <c r="AD551" s="33"/>
    </row>
    <row r="552" spans="29:30" x14ac:dyDescent="0.25">
      <c r="AC552" s="33"/>
      <c r="AD552" s="33"/>
    </row>
    <row r="553" spans="29:30" x14ac:dyDescent="0.25">
      <c r="AC553" s="33"/>
      <c r="AD553" s="33"/>
    </row>
    <row r="554" spans="29:30" x14ac:dyDescent="0.25">
      <c r="AC554" s="33"/>
      <c r="AD554" s="33"/>
    </row>
    <row r="555" spans="29:30" x14ac:dyDescent="0.25">
      <c r="AC555" s="33"/>
      <c r="AD555" s="33"/>
    </row>
    <row r="556" spans="29:30" x14ac:dyDescent="0.25">
      <c r="AC556" s="33"/>
      <c r="AD556" s="33"/>
    </row>
    <row r="557" spans="29:30" x14ac:dyDescent="0.25">
      <c r="AC557" s="33"/>
      <c r="AD557" s="33"/>
    </row>
    <row r="558" spans="29:30" x14ac:dyDescent="0.25">
      <c r="AC558" s="33"/>
      <c r="AD558" s="33"/>
    </row>
    <row r="559" spans="29:30" x14ac:dyDescent="0.25">
      <c r="AC559" s="33"/>
      <c r="AD559" s="33"/>
    </row>
    <row r="560" spans="29:30" x14ac:dyDescent="0.25">
      <c r="AC560" s="33"/>
      <c r="AD560" s="33"/>
    </row>
    <row r="561" spans="29:30" x14ac:dyDescent="0.25">
      <c r="AC561" s="33"/>
      <c r="AD561" s="33"/>
    </row>
    <row r="562" spans="29:30" x14ac:dyDescent="0.25">
      <c r="AC562" s="33"/>
      <c r="AD562" s="33"/>
    </row>
    <row r="563" spans="29:30" x14ac:dyDescent="0.25">
      <c r="AC563" s="33"/>
      <c r="AD563" s="33"/>
    </row>
    <row r="564" spans="29:30" x14ac:dyDescent="0.25">
      <c r="AC564" s="33"/>
      <c r="AD564" s="33"/>
    </row>
    <row r="565" spans="29:30" x14ac:dyDescent="0.25">
      <c r="AC565" s="33"/>
      <c r="AD565" s="33"/>
    </row>
    <row r="566" spans="29:30" x14ac:dyDescent="0.25">
      <c r="AC566" s="33"/>
      <c r="AD566" s="33"/>
    </row>
    <row r="567" spans="29:30" x14ac:dyDescent="0.25">
      <c r="AC567" s="33"/>
      <c r="AD567" s="33"/>
    </row>
    <row r="568" spans="29:30" x14ac:dyDescent="0.25">
      <c r="AC568" s="33"/>
      <c r="AD568" s="33"/>
    </row>
    <row r="569" spans="29:30" x14ac:dyDescent="0.25">
      <c r="AC569" s="33"/>
      <c r="AD569" s="33"/>
    </row>
    <row r="570" spans="29:30" x14ac:dyDescent="0.25">
      <c r="AC570" s="33"/>
      <c r="AD570" s="33"/>
    </row>
    <row r="571" spans="29:30" x14ac:dyDescent="0.25">
      <c r="AC571" s="33"/>
      <c r="AD571" s="33"/>
    </row>
    <row r="572" spans="29:30" x14ac:dyDescent="0.25">
      <c r="AC572" s="33"/>
      <c r="AD572" s="33"/>
    </row>
    <row r="573" spans="29:30" x14ac:dyDescent="0.25">
      <c r="AC573" s="33"/>
      <c r="AD573" s="33"/>
    </row>
    <row r="574" spans="29:30" x14ac:dyDescent="0.25">
      <c r="AC574" s="33"/>
      <c r="AD574" s="33"/>
    </row>
    <row r="575" spans="29:30" x14ac:dyDescent="0.25">
      <c r="AC575" s="33"/>
      <c r="AD575" s="33"/>
    </row>
    <row r="576" spans="29:30" x14ac:dyDescent="0.25">
      <c r="AC576" s="33"/>
      <c r="AD576" s="33"/>
    </row>
    <row r="577" spans="29:30" x14ac:dyDescent="0.25">
      <c r="AC577" s="33"/>
      <c r="AD577" s="33"/>
    </row>
    <row r="578" spans="29:30" x14ac:dyDescent="0.25">
      <c r="AC578" s="33"/>
      <c r="AD578" s="33"/>
    </row>
    <row r="579" spans="29:30" x14ac:dyDescent="0.25">
      <c r="AC579" s="33"/>
      <c r="AD579" s="33"/>
    </row>
    <row r="580" spans="29:30" x14ac:dyDescent="0.25">
      <c r="AC580" s="33"/>
      <c r="AD580" s="33"/>
    </row>
    <row r="581" spans="29:30" x14ac:dyDescent="0.25">
      <c r="AC581" s="33"/>
      <c r="AD581" s="33"/>
    </row>
    <row r="582" spans="29:30" x14ac:dyDescent="0.25">
      <c r="AC582" s="33"/>
      <c r="AD582" s="33"/>
    </row>
    <row r="583" spans="29:30" x14ac:dyDescent="0.25">
      <c r="AC583" s="33"/>
      <c r="AD583" s="33"/>
    </row>
    <row r="584" spans="29:30" x14ac:dyDescent="0.25">
      <c r="AC584" s="33"/>
      <c r="AD584" s="33"/>
    </row>
    <row r="585" spans="29:30" x14ac:dyDescent="0.25">
      <c r="AC585" s="33"/>
      <c r="AD585" s="33"/>
    </row>
    <row r="586" spans="29:30" x14ac:dyDescent="0.25">
      <c r="AC586" s="33"/>
      <c r="AD586" s="33"/>
    </row>
    <row r="587" spans="29:30" x14ac:dyDescent="0.25">
      <c r="AC587" s="33"/>
      <c r="AD587" s="33"/>
    </row>
    <row r="588" spans="29:30" x14ac:dyDescent="0.25">
      <c r="AC588" s="33"/>
      <c r="AD588" s="33"/>
    </row>
    <row r="589" spans="29:30" x14ac:dyDescent="0.25">
      <c r="AC589" s="33"/>
      <c r="AD589" s="33"/>
    </row>
    <row r="590" spans="29:30" x14ac:dyDescent="0.25">
      <c r="AC590" s="33"/>
      <c r="AD590" s="33"/>
    </row>
    <row r="591" spans="29:30" x14ac:dyDescent="0.25">
      <c r="AC591" s="33"/>
      <c r="AD591" s="33"/>
    </row>
    <row r="592" spans="29:30" x14ac:dyDescent="0.25">
      <c r="AC592" s="33"/>
      <c r="AD592" s="33"/>
    </row>
    <row r="593" spans="29:30" x14ac:dyDescent="0.25">
      <c r="AC593" s="33"/>
      <c r="AD593" s="33"/>
    </row>
    <row r="594" spans="29:30" x14ac:dyDescent="0.25">
      <c r="AC594" s="33"/>
      <c r="AD594" s="33"/>
    </row>
    <row r="595" spans="29:30" x14ac:dyDescent="0.25">
      <c r="AC595" s="33"/>
      <c r="AD595" s="33"/>
    </row>
    <row r="596" spans="29:30" x14ac:dyDescent="0.25">
      <c r="AC596" s="33"/>
      <c r="AD596" s="33"/>
    </row>
    <row r="597" spans="29:30" x14ac:dyDescent="0.25">
      <c r="AC597" s="33"/>
      <c r="AD597" s="33"/>
    </row>
    <row r="598" spans="29:30" x14ac:dyDescent="0.25">
      <c r="AC598" s="33"/>
      <c r="AD598" s="33"/>
    </row>
    <row r="599" spans="29:30" x14ac:dyDescent="0.25">
      <c r="AC599" s="33"/>
      <c r="AD599" s="33"/>
    </row>
    <row r="600" spans="29:30" x14ac:dyDescent="0.25">
      <c r="AC600" s="33"/>
      <c r="AD600" s="33"/>
    </row>
    <row r="601" spans="29:30" x14ac:dyDescent="0.25">
      <c r="AC601" s="33"/>
      <c r="AD601" s="33"/>
    </row>
    <row r="602" spans="29:30" x14ac:dyDescent="0.25">
      <c r="AC602" s="33"/>
      <c r="AD602" s="33"/>
    </row>
    <row r="603" spans="29:30" x14ac:dyDescent="0.25">
      <c r="AC603" s="33"/>
      <c r="AD603" s="33"/>
    </row>
    <row r="604" spans="29:30" x14ac:dyDescent="0.25">
      <c r="AC604" s="33"/>
      <c r="AD604" s="33"/>
    </row>
    <row r="605" spans="29:30" x14ac:dyDescent="0.25">
      <c r="AC605" s="33"/>
      <c r="AD605" s="33"/>
    </row>
    <row r="606" spans="29:30" x14ac:dyDescent="0.25">
      <c r="AC606" s="33"/>
      <c r="AD606" s="33"/>
    </row>
    <row r="607" spans="29:30" x14ac:dyDescent="0.25">
      <c r="AC607" s="33"/>
      <c r="AD607" s="33"/>
    </row>
    <row r="608" spans="29:30" x14ac:dyDescent="0.25">
      <c r="AC608" s="33"/>
      <c r="AD608" s="33"/>
    </row>
    <row r="609" spans="29:30" x14ac:dyDescent="0.25">
      <c r="AC609" s="33"/>
      <c r="AD609" s="33"/>
    </row>
    <row r="610" spans="29:30" x14ac:dyDescent="0.25">
      <c r="AC610" s="33"/>
      <c r="AD610" s="33"/>
    </row>
    <row r="611" spans="29:30" x14ac:dyDescent="0.25">
      <c r="AC611" s="33"/>
      <c r="AD611" s="33"/>
    </row>
    <row r="612" spans="29:30" x14ac:dyDescent="0.25">
      <c r="AC612" s="33"/>
      <c r="AD612" s="33"/>
    </row>
    <row r="613" spans="29:30" x14ac:dyDescent="0.25">
      <c r="AC613" s="33"/>
      <c r="AD613" s="33"/>
    </row>
    <row r="614" spans="29:30" x14ac:dyDescent="0.25">
      <c r="AC614" s="33"/>
      <c r="AD614" s="33"/>
    </row>
    <row r="615" spans="29:30" x14ac:dyDescent="0.25">
      <c r="AC615" s="33"/>
      <c r="AD615" s="33"/>
    </row>
    <row r="616" spans="29:30" x14ac:dyDescent="0.25">
      <c r="AC616" s="33"/>
      <c r="AD616" s="33"/>
    </row>
    <row r="617" spans="29:30" x14ac:dyDescent="0.25">
      <c r="AC617" s="33"/>
      <c r="AD617" s="33"/>
    </row>
    <row r="618" spans="29:30" x14ac:dyDescent="0.25">
      <c r="AC618" s="33"/>
      <c r="AD618" s="33"/>
    </row>
    <row r="619" spans="29:30" x14ac:dyDescent="0.25">
      <c r="AC619" s="33"/>
      <c r="AD619" s="33"/>
    </row>
    <row r="620" spans="29:30" x14ac:dyDescent="0.25">
      <c r="AC620" s="33"/>
      <c r="AD620" s="33"/>
    </row>
    <row r="621" spans="29:30" x14ac:dyDescent="0.25">
      <c r="AC621" s="33"/>
      <c r="AD621" s="33"/>
    </row>
    <row r="622" spans="29:30" x14ac:dyDescent="0.25">
      <c r="AC622" s="33"/>
      <c r="AD622" s="33"/>
    </row>
    <row r="623" spans="29:30" x14ac:dyDescent="0.25">
      <c r="AC623" s="33"/>
      <c r="AD623" s="33"/>
    </row>
    <row r="624" spans="29:30" x14ac:dyDescent="0.25">
      <c r="AC624" s="33"/>
      <c r="AD624" s="33"/>
    </row>
    <row r="625" spans="29:30" x14ac:dyDescent="0.25">
      <c r="AC625" s="33"/>
      <c r="AD625" s="33"/>
    </row>
    <row r="626" spans="29:30" x14ac:dyDescent="0.25">
      <c r="AC626" s="33"/>
      <c r="AD626" s="33"/>
    </row>
    <row r="627" spans="29:30" x14ac:dyDescent="0.25">
      <c r="AC627" s="33"/>
      <c r="AD627" s="33"/>
    </row>
    <row r="628" spans="29:30" x14ac:dyDescent="0.25">
      <c r="AC628" s="33"/>
      <c r="AD628" s="33"/>
    </row>
    <row r="629" spans="29:30" x14ac:dyDescent="0.25">
      <c r="AC629" s="33"/>
      <c r="AD629" s="33"/>
    </row>
    <row r="630" spans="29:30" x14ac:dyDescent="0.25">
      <c r="AC630" s="33"/>
      <c r="AD630" s="33"/>
    </row>
    <row r="631" spans="29:30" x14ac:dyDescent="0.25">
      <c r="AC631" s="33"/>
      <c r="AD631" s="33"/>
    </row>
    <row r="632" spans="29:30" x14ac:dyDescent="0.25">
      <c r="AC632" s="33"/>
      <c r="AD632" s="33"/>
    </row>
    <row r="633" spans="29:30" x14ac:dyDescent="0.25">
      <c r="AC633" s="33"/>
      <c r="AD633" s="33"/>
    </row>
    <row r="634" spans="29:30" x14ac:dyDescent="0.25">
      <c r="AC634" s="33"/>
      <c r="AD634" s="33"/>
    </row>
    <row r="635" spans="29:30" x14ac:dyDescent="0.25">
      <c r="AC635" s="33"/>
      <c r="AD635" s="33"/>
    </row>
    <row r="636" spans="29:30" x14ac:dyDescent="0.25">
      <c r="AC636" s="33"/>
      <c r="AD636" s="33"/>
    </row>
    <row r="637" spans="29:30" x14ac:dyDescent="0.25">
      <c r="AC637" s="33"/>
      <c r="AD637" s="33"/>
    </row>
    <row r="638" spans="29:30" x14ac:dyDescent="0.25">
      <c r="AC638" s="33"/>
      <c r="AD638" s="33"/>
    </row>
    <row r="639" spans="29:30" x14ac:dyDescent="0.25">
      <c r="AC639" s="33"/>
      <c r="AD639" s="33"/>
    </row>
    <row r="640" spans="29:30" x14ac:dyDescent="0.25">
      <c r="AC640" s="33"/>
      <c r="AD640" s="33"/>
    </row>
    <row r="641" spans="29:30" x14ac:dyDescent="0.25">
      <c r="AC641" s="33"/>
      <c r="AD641" s="33"/>
    </row>
    <row r="642" spans="29:30" x14ac:dyDescent="0.25">
      <c r="AC642" s="33"/>
      <c r="AD642" s="33"/>
    </row>
    <row r="643" spans="29:30" x14ac:dyDescent="0.25">
      <c r="AC643" s="33"/>
      <c r="AD643" s="33"/>
    </row>
    <row r="644" spans="29:30" x14ac:dyDescent="0.25">
      <c r="AC644" s="33"/>
      <c r="AD644" s="33"/>
    </row>
    <row r="645" spans="29:30" x14ac:dyDescent="0.25">
      <c r="AC645" s="33"/>
      <c r="AD645" s="33"/>
    </row>
    <row r="646" spans="29:30" x14ac:dyDescent="0.25">
      <c r="AC646" s="33"/>
      <c r="AD646" s="33"/>
    </row>
    <row r="647" spans="29:30" x14ac:dyDescent="0.25">
      <c r="AC647" s="33"/>
      <c r="AD647" s="33"/>
    </row>
    <row r="648" spans="29:30" x14ac:dyDescent="0.25">
      <c r="AC648" s="33"/>
      <c r="AD648" s="33"/>
    </row>
    <row r="649" spans="29:30" x14ac:dyDescent="0.25">
      <c r="AC649" s="33"/>
      <c r="AD649" s="33"/>
    </row>
    <row r="650" spans="29:30" x14ac:dyDescent="0.25">
      <c r="AC650" s="33"/>
      <c r="AD650" s="33"/>
    </row>
    <row r="651" spans="29:30" x14ac:dyDescent="0.25">
      <c r="AC651" s="33"/>
      <c r="AD651" s="33"/>
    </row>
    <row r="652" spans="29:30" x14ac:dyDescent="0.25">
      <c r="AC652" s="33"/>
      <c r="AD652" s="33"/>
    </row>
    <row r="653" spans="29:30" x14ac:dyDescent="0.25">
      <c r="AC653" s="33"/>
      <c r="AD653" s="33"/>
    </row>
    <row r="654" spans="29:30" x14ac:dyDescent="0.25">
      <c r="AC654" s="33"/>
      <c r="AD654" s="33"/>
    </row>
    <row r="655" spans="29:30" x14ac:dyDescent="0.25">
      <c r="AC655" s="33"/>
      <c r="AD655" s="33"/>
    </row>
    <row r="656" spans="29:30" x14ac:dyDescent="0.25">
      <c r="AC656" s="33"/>
      <c r="AD656" s="33"/>
    </row>
    <row r="657" spans="29:30" x14ac:dyDescent="0.25">
      <c r="AC657" s="33"/>
      <c r="AD657" s="33"/>
    </row>
    <row r="658" spans="29:30" x14ac:dyDescent="0.25">
      <c r="AC658" s="33"/>
      <c r="AD658" s="33"/>
    </row>
    <row r="659" spans="29:30" x14ac:dyDescent="0.25">
      <c r="AC659" s="33"/>
      <c r="AD659" s="33"/>
    </row>
    <row r="660" spans="29:30" x14ac:dyDescent="0.25">
      <c r="AC660" s="33"/>
      <c r="AD660" s="33"/>
    </row>
    <row r="661" spans="29:30" x14ac:dyDescent="0.25">
      <c r="AC661" s="33"/>
      <c r="AD661" s="33"/>
    </row>
    <row r="662" spans="29:30" x14ac:dyDescent="0.25">
      <c r="AC662" s="33"/>
      <c r="AD662" s="33"/>
    </row>
    <row r="663" spans="29:30" x14ac:dyDescent="0.25">
      <c r="AC663" s="33"/>
      <c r="AD663" s="33"/>
    </row>
    <row r="664" spans="29:30" x14ac:dyDescent="0.25">
      <c r="AC664" s="33"/>
      <c r="AD664" s="33"/>
    </row>
    <row r="665" spans="29:30" x14ac:dyDescent="0.25">
      <c r="AC665" s="33"/>
      <c r="AD665" s="33"/>
    </row>
    <row r="666" spans="29:30" x14ac:dyDescent="0.25">
      <c r="AC666" s="33"/>
      <c r="AD666" s="33"/>
    </row>
    <row r="667" spans="29:30" x14ac:dyDescent="0.25">
      <c r="AC667" s="33"/>
      <c r="AD667" s="33"/>
    </row>
    <row r="668" spans="29:30" x14ac:dyDescent="0.25">
      <c r="AC668" s="33"/>
      <c r="AD668" s="33"/>
    </row>
    <row r="669" spans="29:30" x14ac:dyDescent="0.25">
      <c r="AC669" s="33"/>
      <c r="AD669" s="33"/>
    </row>
    <row r="670" spans="29:30" x14ac:dyDescent="0.25">
      <c r="AC670" s="33"/>
      <c r="AD670" s="33"/>
    </row>
    <row r="671" spans="29:30" x14ac:dyDescent="0.25">
      <c r="AC671" s="33"/>
      <c r="AD671" s="33"/>
    </row>
    <row r="672" spans="29:30" x14ac:dyDescent="0.25">
      <c r="AC672" s="33"/>
      <c r="AD672" s="33"/>
    </row>
    <row r="673" spans="29:30" x14ac:dyDescent="0.25">
      <c r="AC673" s="33"/>
      <c r="AD673" s="33"/>
    </row>
    <row r="674" spans="29:30" x14ac:dyDescent="0.25">
      <c r="AC674" s="33"/>
      <c r="AD674" s="33"/>
    </row>
    <row r="675" spans="29:30" x14ac:dyDescent="0.25">
      <c r="AC675" s="33"/>
      <c r="AD675" s="33"/>
    </row>
    <row r="676" spans="29:30" x14ac:dyDescent="0.25">
      <c r="AC676" s="33"/>
      <c r="AD676" s="33"/>
    </row>
    <row r="677" spans="29:30" x14ac:dyDescent="0.25">
      <c r="AC677" s="33"/>
      <c r="AD677" s="33"/>
    </row>
    <row r="678" spans="29:30" x14ac:dyDescent="0.25">
      <c r="AC678" s="33"/>
      <c r="AD678" s="33"/>
    </row>
    <row r="679" spans="29:30" x14ac:dyDescent="0.25">
      <c r="AC679" s="33"/>
      <c r="AD679" s="33"/>
    </row>
    <row r="680" spans="29:30" x14ac:dyDescent="0.25">
      <c r="AC680" s="33"/>
      <c r="AD680" s="33"/>
    </row>
    <row r="681" spans="29:30" x14ac:dyDescent="0.25">
      <c r="AC681" s="33"/>
      <c r="AD681" s="33"/>
    </row>
    <row r="682" spans="29:30" x14ac:dyDescent="0.25">
      <c r="AC682" s="33"/>
      <c r="AD682" s="33"/>
    </row>
    <row r="683" spans="29:30" x14ac:dyDescent="0.25">
      <c r="AC683" s="33"/>
      <c r="AD683" s="33"/>
    </row>
    <row r="684" spans="29:30" x14ac:dyDescent="0.25">
      <c r="AC684" s="33"/>
      <c r="AD684" s="33"/>
    </row>
    <row r="685" spans="29:30" x14ac:dyDescent="0.25">
      <c r="AC685" s="33"/>
      <c r="AD685" s="33"/>
    </row>
    <row r="686" spans="29:30" x14ac:dyDescent="0.25">
      <c r="AC686" s="33"/>
      <c r="AD686" s="33"/>
    </row>
    <row r="687" spans="29:30" x14ac:dyDescent="0.25">
      <c r="AC687" s="33"/>
      <c r="AD687" s="33"/>
    </row>
    <row r="688" spans="29:30" x14ac:dyDescent="0.25">
      <c r="AC688" s="33"/>
      <c r="AD688" s="33"/>
    </row>
    <row r="689" spans="29:30" x14ac:dyDescent="0.25">
      <c r="AC689" s="33"/>
      <c r="AD689" s="33"/>
    </row>
    <row r="690" spans="29:30" x14ac:dyDescent="0.25">
      <c r="AC690" s="33"/>
      <c r="AD690" s="33"/>
    </row>
    <row r="691" spans="29:30" x14ac:dyDescent="0.25">
      <c r="AC691" s="33"/>
      <c r="AD691" s="33"/>
    </row>
    <row r="692" spans="29:30" x14ac:dyDescent="0.25">
      <c r="AC692" s="33"/>
      <c r="AD692" s="33"/>
    </row>
    <row r="693" spans="29:30" x14ac:dyDescent="0.25">
      <c r="AC693" s="33"/>
      <c r="AD693" s="33"/>
    </row>
    <row r="694" spans="29:30" x14ac:dyDescent="0.25">
      <c r="AC694" s="33"/>
      <c r="AD694" s="33"/>
    </row>
    <row r="695" spans="29:30" x14ac:dyDescent="0.25">
      <c r="AC695" s="33"/>
      <c r="AD695" s="33"/>
    </row>
    <row r="696" spans="29:30" x14ac:dyDescent="0.25">
      <c r="AC696" s="33"/>
      <c r="AD696" s="33"/>
    </row>
    <row r="697" spans="29:30" x14ac:dyDescent="0.25">
      <c r="AC697" s="33"/>
      <c r="AD697" s="33"/>
    </row>
    <row r="698" spans="29:30" x14ac:dyDescent="0.25">
      <c r="AC698" s="33"/>
      <c r="AD698" s="33"/>
    </row>
    <row r="699" spans="29:30" x14ac:dyDescent="0.25">
      <c r="AC699" s="33"/>
      <c r="AD699" s="33"/>
    </row>
    <row r="700" spans="29:30" x14ac:dyDescent="0.25">
      <c r="AC700" s="33"/>
      <c r="AD700" s="33"/>
    </row>
    <row r="701" spans="29:30" x14ac:dyDescent="0.25">
      <c r="AC701" s="33"/>
      <c r="AD701" s="33"/>
    </row>
    <row r="702" spans="29:30" x14ac:dyDescent="0.25">
      <c r="AC702" s="33"/>
      <c r="AD702" s="33"/>
    </row>
    <row r="703" spans="29:30" x14ac:dyDescent="0.25">
      <c r="AC703" s="33"/>
      <c r="AD703" s="33"/>
    </row>
    <row r="704" spans="29:30" x14ac:dyDescent="0.25">
      <c r="AC704" s="33"/>
      <c r="AD704" s="33"/>
    </row>
    <row r="705" spans="29:30" x14ac:dyDescent="0.25">
      <c r="AC705" s="33"/>
      <c r="AD705" s="33"/>
    </row>
    <row r="706" spans="29:30" x14ac:dyDescent="0.25">
      <c r="AC706" s="33"/>
      <c r="AD706" s="33"/>
    </row>
    <row r="707" spans="29:30" x14ac:dyDescent="0.25">
      <c r="AC707" s="33"/>
      <c r="AD707" s="33"/>
    </row>
    <row r="708" spans="29:30" x14ac:dyDescent="0.25">
      <c r="AC708" s="33"/>
      <c r="AD708" s="33"/>
    </row>
    <row r="709" spans="29:30" x14ac:dyDescent="0.25">
      <c r="AC709" s="33"/>
      <c r="AD709" s="33"/>
    </row>
    <row r="710" spans="29:30" x14ac:dyDescent="0.25">
      <c r="AC710" s="33"/>
      <c r="AD710" s="33"/>
    </row>
    <row r="711" spans="29:30" x14ac:dyDescent="0.25">
      <c r="AC711" s="33"/>
      <c r="AD711" s="33"/>
    </row>
    <row r="712" spans="29:30" x14ac:dyDescent="0.25">
      <c r="AC712" s="33"/>
      <c r="AD712" s="33"/>
    </row>
    <row r="713" spans="29:30" x14ac:dyDescent="0.25">
      <c r="AC713" s="33"/>
      <c r="AD713" s="33"/>
    </row>
    <row r="714" spans="29:30" x14ac:dyDescent="0.25">
      <c r="AC714" s="33"/>
      <c r="AD714" s="33"/>
    </row>
    <row r="715" spans="29:30" x14ac:dyDescent="0.25">
      <c r="AC715" s="33"/>
      <c r="AD715" s="33"/>
    </row>
    <row r="716" spans="29:30" x14ac:dyDescent="0.25">
      <c r="AC716" s="33"/>
      <c r="AD716" s="33"/>
    </row>
    <row r="717" spans="29:30" x14ac:dyDescent="0.25">
      <c r="AC717" s="33"/>
      <c r="AD717" s="33"/>
    </row>
    <row r="718" spans="29:30" x14ac:dyDescent="0.25">
      <c r="AC718" s="33"/>
      <c r="AD718" s="33"/>
    </row>
    <row r="719" spans="29:30" x14ac:dyDescent="0.25">
      <c r="AC719" s="33"/>
      <c r="AD719" s="33"/>
    </row>
    <row r="720" spans="29:30" x14ac:dyDescent="0.25">
      <c r="AC720" s="33"/>
      <c r="AD720" s="33"/>
    </row>
    <row r="721" spans="29:30" x14ac:dyDescent="0.25">
      <c r="AC721" s="33"/>
      <c r="AD721" s="33"/>
    </row>
    <row r="722" spans="29:30" x14ac:dyDescent="0.25">
      <c r="AC722" s="33"/>
      <c r="AD722" s="33"/>
    </row>
    <row r="723" spans="29:30" x14ac:dyDescent="0.25">
      <c r="AC723" s="33"/>
      <c r="AD723" s="33"/>
    </row>
    <row r="724" spans="29:30" x14ac:dyDescent="0.25">
      <c r="AC724" s="33"/>
      <c r="AD724" s="33"/>
    </row>
    <row r="725" spans="29:30" x14ac:dyDescent="0.25">
      <c r="AC725" s="33"/>
      <c r="AD725" s="33"/>
    </row>
    <row r="726" spans="29:30" x14ac:dyDescent="0.25">
      <c r="AC726" s="33"/>
      <c r="AD726" s="33"/>
    </row>
    <row r="727" spans="29:30" x14ac:dyDescent="0.25">
      <c r="AC727" s="33"/>
      <c r="AD727" s="33"/>
    </row>
    <row r="728" spans="29:30" x14ac:dyDescent="0.25">
      <c r="AC728" s="33"/>
      <c r="AD728" s="33"/>
    </row>
    <row r="729" spans="29:30" x14ac:dyDescent="0.25">
      <c r="AC729" s="33"/>
      <c r="AD729" s="33"/>
    </row>
    <row r="730" spans="29:30" x14ac:dyDescent="0.25">
      <c r="AC730" s="33"/>
      <c r="AD730" s="33"/>
    </row>
    <row r="731" spans="29:30" x14ac:dyDescent="0.25">
      <c r="AC731" s="33"/>
      <c r="AD731" s="33"/>
    </row>
    <row r="732" spans="29:30" x14ac:dyDescent="0.25">
      <c r="AC732" s="33"/>
      <c r="AD732" s="33"/>
    </row>
    <row r="733" spans="29:30" x14ac:dyDescent="0.25">
      <c r="AC733" s="33"/>
      <c r="AD733" s="33"/>
    </row>
    <row r="734" spans="29:30" x14ac:dyDescent="0.25">
      <c r="AC734" s="33"/>
      <c r="AD734" s="33"/>
    </row>
    <row r="735" spans="29:30" x14ac:dyDescent="0.25">
      <c r="AC735" s="33"/>
      <c r="AD735" s="33"/>
    </row>
    <row r="736" spans="29:30" x14ac:dyDescent="0.25">
      <c r="AC736" s="33"/>
      <c r="AD736" s="33"/>
    </row>
    <row r="737" spans="29:30" x14ac:dyDescent="0.25">
      <c r="AC737" s="33"/>
      <c r="AD737" s="33"/>
    </row>
    <row r="738" spans="29:30" x14ac:dyDescent="0.25">
      <c r="AC738" s="33"/>
      <c r="AD738" s="33"/>
    </row>
    <row r="739" spans="29:30" x14ac:dyDescent="0.25">
      <c r="AC739" s="33"/>
      <c r="AD739" s="33"/>
    </row>
    <row r="740" spans="29:30" x14ac:dyDescent="0.25">
      <c r="AC740" s="33"/>
      <c r="AD740" s="33"/>
    </row>
    <row r="741" spans="29:30" x14ac:dyDescent="0.25">
      <c r="AC741" s="33"/>
      <c r="AD741" s="33"/>
    </row>
    <row r="742" spans="29:30" x14ac:dyDescent="0.25">
      <c r="AC742" s="33"/>
      <c r="AD742" s="33"/>
    </row>
    <row r="743" spans="29:30" x14ac:dyDescent="0.25">
      <c r="AC743" s="33"/>
      <c r="AD743" s="33"/>
    </row>
    <row r="744" spans="29:30" x14ac:dyDescent="0.25">
      <c r="AC744" s="33"/>
      <c r="AD744" s="33"/>
    </row>
    <row r="745" spans="29:30" x14ac:dyDescent="0.25">
      <c r="AC745" s="33"/>
      <c r="AD745" s="33"/>
    </row>
    <row r="746" spans="29:30" x14ac:dyDescent="0.25">
      <c r="AC746" s="33"/>
      <c r="AD746" s="33"/>
    </row>
    <row r="747" spans="29:30" x14ac:dyDescent="0.25">
      <c r="AC747" s="33"/>
      <c r="AD747" s="33"/>
    </row>
    <row r="748" spans="29:30" x14ac:dyDescent="0.25">
      <c r="AC748" s="33"/>
      <c r="AD748" s="33"/>
    </row>
    <row r="749" spans="29:30" x14ac:dyDescent="0.25">
      <c r="AC749" s="33"/>
      <c r="AD749" s="33"/>
    </row>
    <row r="750" spans="29:30" x14ac:dyDescent="0.25">
      <c r="AC750" s="33"/>
      <c r="AD750" s="33"/>
    </row>
    <row r="751" spans="29:30" x14ac:dyDescent="0.25">
      <c r="AC751" s="33"/>
      <c r="AD751" s="33"/>
    </row>
    <row r="752" spans="29:30" x14ac:dyDescent="0.25">
      <c r="AC752" s="33"/>
      <c r="AD752" s="33"/>
    </row>
    <row r="753" spans="29:30" x14ac:dyDescent="0.25">
      <c r="AC753" s="33"/>
      <c r="AD753" s="33"/>
    </row>
    <row r="754" spans="29:30" x14ac:dyDescent="0.25">
      <c r="AC754" s="33"/>
      <c r="AD754" s="33"/>
    </row>
    <row r="755" spans="29:30" x14ac:dyDescent="0.25">
      <c r="AC755" s="33"/>
      <c r="AD755" s="33"/>
    </row>
    <row r="756" spans="29:30" x14ac:dyDescent="0.25">
      <c r="AC756" s="33"/>
      <c r="AD756" s="33"/>
    </row>
    <row r="757" spans="29:30" x14ac:dyDescent="0.25">
      <c r="AC757" s="33"/>
      <c r="AD757" s="33"/>
    </row>
    <row r="758" spans="29:30" x14ac:dyDescent="0.25">
      <c r="AC758" s="33"/>
      <c r="AD758" s="33"/>
    </row>
    <row r="759" spans="29:30" x14ac:dyDescent="0.25">
      <c r="AC759" s="33"/>
      <c r="AD759" s="33"/>
    </row>
    <row r="760" spans="29:30" x14ac:dyDescent="0.25">
      <c r="AC760" s="33"/>
      <c r="AD760" s="33"/>
    </row>
    <row r="761" spans="29:30" x14ac:dyDescent="0.25">
      <c r="AC761" s="33"/>
      <c r="AD761" s="33"/>
    </row>
    <row r="762" spans="29:30" x14ac:dyDescent="0.25">
      <c r="AC762" s="33"/>
      <c r="AD762" s="33"/>
    </row>
    <row r="763" spans="29:30" x14ac:dyDescent="0.25">
      <c r="AC763" s="33"/>
      <c r="AD763" s="33"/>
    </row>
    <row r="764" spans="29:30" x14ac:dyDescent="0.25">
      <c r="AC764" s="33"/>
      <c r="AD764" s="33"/>
    </row>
    <row r="765" spans="29:30" x14ac:dyDescent="0.25">
      <c r="AC765" s="33"/>
      <c r="AD765" s="33"/>
    </row>
    <row r="766" spans="29:30" x14ac:dyDescent="0.25">
      <c r="AC766" s="33"/>
      <c r="AD766" s="33"/>
    </row>
    <row r="767" spans="29:30" x14ac:dyDescent="0.25">
      <c r="AC767" s="33"/>
      <c r="AD767" s="33"/>
    </row>
    <row r="768" spans="29:30" x14ac:dyDescent="0.25">
      <c r="AC768" s="33"/>
      <c r="AD768" s="33"/>
    </row>
    <row r="769" spans="29:30" x14ac:dyDescent="0.25">
      <c r="AC769" s="33"/>
      <c r="AD769" s="33"/>
    </row>
    <row r="770" spans="29:30" x14ac:dyDescent="0.25">
      <c r="AC770" s="33"/>
      <c r="AD770" s="33"/>
    </row>
    <row r="771" spans="29:30" x14ac:dyDescent="0.25">
      <c r="AC771" s="33"/>
      <c r="AD771" s="33"/>
    </row>
    <row r="772" spans="29:30" x14ac:dyDescent="0.25">
      <c r="AC772" s="33"/>
      <c r="AD772" s="33"/>
    </row>
    <row r="773" spans="29:30" x14ac:dyDescent="0.25">
      <c r="AC773" s="33"/>
      <c r="AD773" s="33"/>
    </row>
    <row r="774" spans="29:30" x14ac:dyDescent="0.25">
      <c r="AC774" s="33"/>
      <c r="AD774" s="33"/>
    </row>
    <row r="775" spans="29:30" x14ac:dyDescent="0.25">
      <c r="AC775" s="33"/>
      <c r="AD775" s="33"/>
    </row>
    <row r="776" spans="29:30" x14ac:dyDescent="0.25">
      <c r="AC776" s="33"/>
      <c r="AD776" s="33"/>
    </row>
    <row r="777" spans="29:30" x14ac:dyDescent="0.25">
      <c r="AC777" s="33"/>
      <c r="AD777" s="33"/>
    </row>
    <row r="778" spans="29:30" x14ac:dyDescent="0.25">
      <c r="AC778" s="33"/>
      <c r="AD778" s="33"/>
    </row>
    <row r="779" spans="29:30" x14ac:dyDescent="0.25">
      <c r="AC779" s="33"/>
      <c r="AD779" s="33"/>
    </row>
    <row r="780" spans="29:30" x14ac:dyDescent="0.25">
      <c r="AC780" s="33"/>
      <c r="AD780" s="33"/>
    </row>
    <row r="781" spans="29:30" x14ac:dyDescent="0.25">
      <c r="AC781" s="33"/>
      <c r="AD781" s="33"/>
    </row>
    <row r="782" spans="29:30" x14ac:dyDescent="0.25">
      <c r="AC782" s="33"/>
      <c r="AD782" s="33"/>
    </row>
    <row r="783" spans="29:30" x14ac:dyDescent="0.25">
      <c r="AC783" s="33"/>
      <c r="AD783" s="33"/>
    </row>
    <row r="784" spans="29:30" x14ac:dyDescent="0.25">
      <c r="AC784" s="33"/>
      <c r="AD784" s="33"/>
    </row>
    <row r="785" spans="29:30" x14ac:dyDescent="0.25">
      <c r="AC785" s="33"/>
      <c r="AD785" s="33"/>
    </row>
    <row r="786" spans="29:30" x14ac:dyDescent="0.25">
      <c r="AC786" s="33"/>
      <c r="AD786" s="33"/>
    </row>
    <row r="787" spans="29:30" x14ac:dyDescent="0.25">
      <c r="AC787" s="33"/>
      <c r="AD787" s="33"/>
    </row>
    <row r="788" spans="29:30" x14ac:dyDescent="0.25">
      <c r="AC788" s="33"/>
      <c r="AD788" s="33"/>
    </row>
    <row r="789" spans="29:30" x14ac:dyDescent="0.25">
      <c r="AC789" s="33"/>
      <c r="AD789" s="33"/>
    </row>
    <row r="790" spans="29:30" x14ac:dyDescent="0.25">
      <c r="AC790" s="33"/>
      <c r="AD790" s="33"/>
    </row>
    <row r="791" spans="29:30" x14ac:dyDescent="0.25">
      <c r="AC791" s="33"/>
      <c r="AD791" s="33"/>
    </row>
    <row r="792" spans="29:30" x14ac:dyDescent="0.25">
      <c r="AC792" s="33"/>
      <c r="AD792" s="33"/>
    </row>
    <row r="793" spans="29:30" x14ac:dyDescent="0.25">
      <c r="AC793" s="33"/>
      <c r="AD793" s="33"/>
    </row>
    <row r="794" spans="29:30" x14ac:dyDescent="0.25">
      <c r="AC794" s="33"/>
      <c r="AD794" s="33"/>
    </row>
    <row r="795" spans="29:30" x14ac:dyDescent="0.25">
      <c r="AC795" s="33"/>
      <c r="AD795" s="33"/>
    </row>
    <row r="796" spans="29:30" x14ac:dyDescent="0.25">
      <c r="AC796" s="33"/>
      <c r="AD796" s="33"/>
    </row>
    <row r="797" spans="29:30" x14ac:dyDescent="0.25">
      <c r="AC797" s="33"/>
      <c r="AD797" s="33"/>
    </row>
    <row r="798" spans="29:30" x14ac:dyDescent="0.25">
      <c r="AC798" s="33"/>
      <c r="AD798" s="33"/>
    </row>
    <row r="799" spans="29:30" x14ac:dyDescent="0.25">
      <c r="AC799" s="33"/>
      <c r="AD799" s="33"/>
    </row>
    <row r="800" spans="29:30" x14ac:dyDescent="0.25">
      <c r="AC800" s="33"/>
      <c r="AD800" s="33"/>
    </row>
    <row r="801" spans="29:30" x14ac:dyDescent="0.25">
      <c r="AC801" s="33"/>
      <c r="AD801" s="33"/>
    </row>
    <row r="802" spans="29:30" x14ac:dyDescent="0.25">
      <c r="AC802" s="33"/>
      <c r="AD802" s="33"/>
    </row>
    <row r="803" spans="29:30" x14ac:dyDescent="0.25">
      <c r="AC803" s="33"/>
      <c r="AD803" s="33"/>
    </row>
    <row r="804" spans="29:30" x14ac:dyDescent="0.25">
      <c r="AC804" s="33"/>
      <c r="AD804" s="33"/>
    </row>
    <row r="805" spans="29:30" x14ac:dyDescent="0.25">
      <c r="AC805" s="33"/>
      <c r="AD805" s="33"/>
    </row>
    <row r="806" spans="29:30" x14ac:dyDescent="0.25">
      <c r="AC806" s="33"/>
      <c r="AD806" s="33"/>
    </row>
    <row r="807" spans="29:30" x14ac:dyDescent="0.25">
      <c r="AC807" s="33"/>
      <c r="AD807" s="33"/>
    </row>
    <row r="808" spans="29:30" x14ac:dyDescent="0.25">
      <c r="AC808" s="33"/>
      <c r="AD808" s="33"/>
    </row>
    <row r="809" spans="29:30" x14ac:dyDescent="0.25">
      <c r="AC809" s="33"/>
      <c r="AD809" s="33"/>
    </row>
    <row r="810" spans="29:30" x14ac:dyDescent="0.25">
      <c r="AC810" s="33"/>
      <c r="AD810" s="33"/>
    </row>
    <row r="811" spans="29:30" x14ac:dyDescent="0.25">
      <c r="AC811" s="33"/>
      <c r="AD811" s="33"/>
    </row>
    <row r="812" spans="29:30" x14ac:dyDescent="0.25">
      <c r="AC812" s="33"/>
      <c r="AD812" s="33"/>
    </row>
    <row r="813" spans="29:30" x14ac:dyDescent="0.25">
      <c r="AC813" s="33"/>
      <c r="AD813" s="33"/>
    </row>
    <row r="814" spans="29:30" x14ac:dyDescent="0.25">
      <c r="AC814" s="33"/>
      <c r="AD814" s="33"/>
    </row>
    <row r="815" spans="29:30" x14ac:dyDescent="0.25">
      <c r="AC815" s="33"/>
      <c r="AD815" s="33"/>
    </row>
    <row r="816" spans="29:30" x14ac:dyDescent="0.25">
      <c r="AC816" s="33"/>
      <c r="AD816" s="33"/>
    </row>
    <row r="817" spans="29:30" x14ac:dyDescent="0.25">
      <c r="AC817" s="33"/>
      <c r="AD817" s="33"/>
    </row>
    <row r="818" spans="29:30" x14ac:dyDescent="0.25">
      <c r="AC818" s="33"/>
      <c r="AD818" s="33"/>
    </row>
    <row r="819" spans="29:30" x14ac:dyDescent="0.25">
      <c r="AC819" s="33"/>
      <c r="AD819" s="33"/>
    </row>
    <row r="820" spans="29:30" x14ac:dyDescent="0.25">
      <c r="AC820" s="33"/>
      <c r="AD820" s="33"/>
    </row>
    <row r="821" spans="29:30" x14ac:dyDescent="0.25">
      <c r="AC821" s="33"/>
      <c r="AD821" s="33"/>
    </row>
    <row r="822" spans="29:30" x14ac:dyDescent="0.25">
      <c r="AC822" s="33"/>
      <c r="AD822" s="33"/>
    </row>
    <row r="823" spans="29:30" x14ac:dyDescent="0.25">
      <c r="AC823" s="33"/>
      <c r="AD823" s="33"/>
    </row>
    <row r="824" spans="29:30" x14ac:dyDescent="0.25">
      <c r="AC824" s="33"/>
      <c r="AD824" s="33"/>
    </row>
    <row r="825" spans="29:30" x14ac:dyDescent="0.25">
      <c r="AC825" s="33"/>
      <c r="AD825" s="33"/>
    </row>
    <row r="826" spans="29:30" x14ac:dyDescent="0.25">
      <c r="AC826" s="33"/>
      <c r="AD826" s="33"/>
    </row>
    <row r="827" spans="29:30" x14ac:dyDescent="0.25">
      <c r="AC827" s="33"/>
      <c r="AD827" s="33"/>
    </row>
    <row r="828" spans="29:30" x14ac:dyDescent="0.25">
      <c r="AC828" s="33"/>
      <c r="AD828" s="33"/>
    </row>
    <row r="829" spans="29:30" x14ac:dyDescent="0.25">
      <c r="AC829" s="33"/>
      <c r="AD829" s="33"/>
    </row>
    <row r="830" spans="29:30" x14ac:dyDescent="0.25">
      <c r="AC830" s="33"/>
      <c r="AD830" s="33"/>
    </row>
    <row r="831" spans="29:30" x14ac:dyDescent="0.25">
      <c r="AC831" s="33"/>
      <c r="AD831" s="33"/>
    </row>
    <row r="832" spans="29:30" x14ac:dyDescent="0.25">
      <c r="AC832" s="33"/>
      <c r="AD832" s="33"/>
    </row>
    <row r="833" spans="29:30" x14ac:dyDescent="0.25">
      <c r="AC833" s="33"/>
      <c r="AD833" s="33"/>
    </row>
    <row r="834" spans="29:30" x14ac:dyDescent="0.25">
      <c r="AC834" s="33"/>
      <c r="AD834" s="33"/>
    </row>
    <row r="835" spans="29:30" x14ac:dyDescent="0.25">
      <c r="AC835" s="33"/>
      <c r="AD835" s="33"/>
    </row>
    <row r="836" spans="29:30" x14ac:dyDescent="0.25">
      <c r="AC836" s="33"/>
      <c r="AD836" s="33"/>
    </row>
    <row r="837" spans="29:30" x14ac:dyDescent="0.25">
      <c r="AC837" s="33"/>
      <c r="AD837" s="33"/>
    </row>
    <row r="838" spans="29:30" x14ac:dyDescent="0.25">
      <c r="AC838" s="33"/>
      <c r="AD838" s="33"/>
    </row>
    <row r="839" spans="29:30" x14ac:dyDescent="0.25">
      <c r="AC839" s="33"/>
      <c r="AD839" s="33"/>
    </row>
    <row r="840" spans="29:30" x14ac:dyDescent="0.25">
      <c r="AC840" s="33"/>
      <c r="AD840" s="33"/>
    </row>
    <row r="841" spans="29:30" x14ac:dyDescent="0.25">
      <c r="AC841" s="33"/>
      <c r="AD841" s="33"/>
    </row>
    <row r="842" spans="29:30" x14ac:dyDescent="0.25">
      <c r="AC842" s="33"/>
      <c r="AD842" s="33"/>
    </row>
    <row r="843" spans="29:30" x14ac:dyDescent="0.25">
      <c r="AC843" s="33"/>
      <c r="AD843" s="33"/>
    </row>
    <row r="844" spans="29:30" x14ac:dyDescent="0.25">
      <c r="AC844" s="33"/>
      <c r="AD844" s="33"/>
    </row>
    <row r="845" spans="29:30" x14ac:dyDescent="0.25">
      <c r="AC845" s="33"/>
      <c r="AD845" s="33"/>
    </row>
    <row r="846" spans="29:30" x14ac:dyDescent="0.25">
      <c r="AC846" s="33"/>
      <c r="AD846" s="33"/>
    </row>
    <row r="847" spans="29:30" x14ac:dyDescent="0.25">
      <c r="AC847" s="33"/>
      <c r="AD847" s="33"/>
    </row>
    <row r="848" spans="29:30" x14ac:dyDescent="0.25">
      <c r="AC848" s="33"/>
      <c r="AD848" s="33"/>
    </row>
    <row r="849" spans="29:30" x14ac:dyDescent="0.25">
      <c r="AC849" s="33"/>
      <c r="AD849" s="33"/>
    </row>
    <row r="850" spans="29:30" x14ac:dyDescent="0.25">
      <c r="AC850" s="33"/>
      <c r="AD850" s="33"/>
    </row>
    <row r="851" spans="29:30" x14ac:dyDescent="0.25">
      <c r="AC851" s="33"/>
      <c r="AD851" s="33"/>
    </row>
    <row r="852" spans="29:30" x14ac:dyDescent="0.25">
      <c r="AC852" s="33"/>
      <c r="AD852" s="33"/>
    </row>
    <row r="853" spans="29:30" x14ac:dyDescent="0.25">
      <c r="AC853" s="33"/>
      <c r="AD853" s="33"/>
    </row>
    <row r="854" spans="29:30" x14ac:dyDescent="0.25">
      <c r="AC854" s="33"/>
      <c r="AD854" s="33"/>
    </row>
    <row r="855" spans="29:30" x14ac:dyDescent="0.25">
      <c r="AC855" s="33"/>
      <c r="AD855" s="33"/>
    </row>
    <row r="856" spans="29:30" x14ac:dyDescent="0.25">
      <c r="AC856" s="33"/>
      <c r="AD856" s="33"/>
    </row>
    <row r="857" spans="29:30" x14ac:dyDescent="0.25">
      <c r="AC857" s="33"/>
      <c r="AD857" s="33"/>
    </row>
    <row r="858" spans="29:30" x14ac:dyDescent="0.25">
      <c r="AC858" s="33"/>
      <c r="AD858" s="33"/>
    </row>
    <row r="859" spans="29:30" x14ac:dyDescent="0.25">
      <c r="AC859" s="33"/>
      <c r="AD859" s="33"/>
    </row>
    <row r="860" spans="29:30" x14ac:dyDescent="0.25">
      <c r="AC860" s="33"/>
      <c r="AD860" s="33"/>
    </row>
    <row r="861" spans="29:30" x14ac:dyDescent="0.25">
      <c r="AC861" s="33"/>
      <c r="AD861" s="33"/>
    </row>
    <row r="862" spans="29:30" x14ac:dyDescent="0.25">
      <c r="AC862" s="33"/>
      <c r="AD862" s="33"/>
    </row>
    <row r="863" spans="29:30" x14ac:dyDescent="0.25">
      <c r="AC863" s="33"/>
      <c r="AD863" s="33"/>
    </row>
    <row r="864" spans="29:30" x14ac:dyDescent="0.25">
      <c r="AC864" s="33"/>
      <c r="AD864" s="33"/>
    </row>
    <row r="865" spans="29:30" x14ac:dyDescent="0.25">
      <c r="AC865" s="33"/>
      <c r="AD865" s="33"/>
    </row>
    <row r="866" spans="29:30" x14ac:dyDescent="0.25">
      <c r="AC866" s="33"/>
      <c r="AD866" s="33"/>
    </row>
    <row r="867" spans="29:30" x14ac:dyDescent="0.25">
      <c r="AC867" s="33"/>
      <c r="AD867" s="33"/>
    </row>
    <row r="868" spans="29:30" x14ac:dyDescent="0.25">
      <c r="AC868" s="33"/>
      <c r="AD868" s="33"/>
    </row>
    <row r="869" spans="29:30" x14ac:dyDescent="0.25">
      <c r="AC869" s="33"/>
      <c r="AD869" s="33"/>
    </row>
    <row r="870" spans="29:30" x14ac:dyDescent="0.25">
      <c r="AC870" s="33"/>
      <c r="AD870" s="33"/>
    </row>
    <row r="871" spans="29:30" x14ac:dyDescent="0.25">
      <c r="AC871" s="33"/>
      <c r="AD871" s="33"/>
    </row>
    <row r="872" spans="29:30" x14ac:dyDescent="0.25">
      <c r="AC872" s="33"/>
      <c r="AD872" s="33"/>
    </row>
    <row r="873" spans="29:30" x14ac:dyDescent="0.25">
      <c r="AC873" s="33"/>
      <c r="AD873" s="33"/>
    </row>
    <row r="874" spans="29:30" x14ac:dyDescent="0.25">
      <c r="AC874" s="33"/>
      <c r="AD874" s="33"/>
    </row>
    <row r="875" spans="29:30" x14ac:dyDescent="0.25">
      <c r="AC875" s="33"/>
      <c r="AD875" s="33"/>
    </row>
    <row r="876" spans="29:30" x14ac:dyDescent="0.25">
      <c r="AC876" s="33"/>
      <c r="AD876" s="33"/>
    </row>
    <row r="877" spans="29:30" x14ac:dyDescent="0.25">
      <c r="AC877" s="33"/>
      <c r="AD877" s="33"/>
    </row>
    <row r="878" spans="29:30" x14ac:dyDescent="0.25">
      <c r="AC878" s="33"/>
      <c r="AD878" s="33"/>
    </row>
    <row r="879" spans="29:30" x14ac:dyDescent="0.25">
      <c r="AC879" s="33"/>
      <c r="AD879" s="33"/>
    </row>
    <row r="880" spans="29:30" x14ac:dyDescent="0.25">
      <c r="AC880" s="33"/>
      <c r="AD880" s="33"/>
    </row>
    <row r="881" spans="29:30" x14ac:dyDescent="0.25">
      <c r="AC881" s="33"/>
      <c r="AD881" s="33"/>
    </row>
    <row r="882" spans="29:30" x14ac:dyDescent="0.25">
      <c r="AC882" s="33"/>
      <c r="AD882" s="33"/>
    </row>
    <row r="883" spans="29:30" x14ac:dyDescent="0.25">
      <c r="AC883" s="33"/>
      <c r="AD883" s="33"/>
    </row>
    <row r="884" spans="29:30" x14ac:dyDescent="0.25">
      <c r="AC884" s="33"/>
      <c r="AD884" s="33"/>
    </row>
    <row r="885" spans="29:30" x14ac:dyDescent="0.25">
      <c r="AC885" s="33"/>
      <c r="AD885" s="33"/>
    </row>
    <row r="886" spans="29:30" x14ac:dyDescent="0.25">
      <c r="AC886" s="33"/>
      <c r="AD886" s="33"/>
    </row>
    <row r="887" spans="29:30" x14ac:dyDescent="0.25">
      <c r="AC887" s="33"/>
      <c r="AD887" s="33"/>
    </row>
    <row r="888" spans="29:30" x14ac:dyDescent="0.25">
      <c r="AC888" s="33"/>
      <c r="AD888" s="33"/>
    </row>
    <row r="889" spans="29:30" x14ac:dyDescent="0.25">
      <c r="AC889" s="33"/>
      <c r="AD889" s="33"/>
    </row>
    <row r="890" spans="29:30" x14ac:dyDescent="0.25">
      <c r="AC890" s="33"/>
      <c r="AD890" s="33"/>
    </row>
    <row r="891" spans="29:30" x14ac:dyDescent="0.25">
      <c r="AC891" s="33"/>
      <c r="AD891" s="33"/>
    </row>
    <row r="892" spans="29:30" x14ac:dyDescent="0.25">
      <c r="AC892" s="33"/>
      <c r="AD892" s="33"/>
    </row>
    <row r="893" spans="29:30" x14ac:dyDescent="0.25">
      <c r="AC893" s="33"/>
      <c r="AD893" s="33"/>
    </row>
    <row r="894" spans="29:30" x14ac:dyDescent="0.25">
      <c r="AC894" s="33"/>
      <c r="AD894" s="33"/>
    </row>
    <row r="895" spans="29:30" x14ac:dyDescent="0.25">
      <c r="AC895" s="33"/>
      <c r="AD895" s="33"/>
    </row>
    <row r="896" spans="29:30" x14ac:dyDescent="0.25">
      <c r="AC896" s="33"/>
      <c r="AD896" s="33"/>
    </row>
    <row r="897" spans="29:30" x14ac:dyDescent="0.25">
      <c r="AC897" s="33"/>
      <c r="AD897" s="33"/>
    </row>
    <row r="898" spans="29:30" x14ac:dyDescent="0.25">
      <c r="AC898" s="33"/>
      <c r="AD898" s="33"/>
    </row>
    <row r="899" spans="29:30" x14ac:dyDescent="0.25">
      <c r="AC899" s="33"/>
      <c r="AD899" s="33"/>
    </row>
    <row r="900" spans="29:30" x14ac:dyDescent="0.25">
      <c r="AC900" s="33"/>
      <c r="AD900" s="33"/>
    </row>
    <row r="901" spans="29:30" x14ac:dyDescent="0.25">
      <c r="AC901" s="33"/>
      <c r="AD901" s="33"/>
    </row>
    <row r="902" spans="29:30" x14ac:dyDescent="0.25">
      <c r="AC902" s="33"/>
      <c r="AD902" s="33"/>
    </row>
    <row r="903" spans="29:30" x14ac:dyDescent="0.25">
      <c r="AC903" s="33"/>
      <c r="AD903" s="33"/>
    </row>
    <row r="904" spans="29:30" x14ac:dyDescent="0.25">
      <c r="AC904" s="33"/>
      <c r="AD904" s="33"/>
    </row>
    <row r="905" spans="29:30" x14ac:dyDescent="0.25">
      <c r="AC905" s="33"/>
      <c r="AD905" s="33"/>
    </row>
    <row r="906" spans="29:30" x14ac:dyDescent="0.25">
      <c r="AC906" s="33"/>
      <c r="AD906" s="33"/>
    </row>
    <row r="907" spans="29:30" x14ac:dyDescent="0.25">
      <c r="AC907" s="33"/>
      <c r="AD907" s="33"/>
    </row>
    <row r="908" spans="29:30" x14ac:dyDescent="0.25">
      <c r="AC908" s="33"/>
      <c r="AD908" s="33"/>
    </row>
    <row r="909" spans="29:30" x14ac:dyDescent="0.25">
      <c r="AC909" s="33"/>
      <c r="AD909" s="33"/>
    </row>
    <row r="910" spans="29:30" x14ac:dyDescent="0.25">
      <c r="AC910" s="33"/>
      <c r="AD910" s="33"/>
    </row>
    <row r="911" spans="29:30" x14ac:dyDescent="0.25">
      <c r="AC911" s="33"/>
      <c r="AD911" s="33"/>
    </row>
    <row r="912" spans="29:30" x14ac:dyDescent="0.25">
      <c r="AC912" s="33"/>
      <c r="AD912" s="33"/>
    </row>
    <row r="913" spans="29:30" x14ac:dyDescent="0.25">
      <c r="AC913" s="33"/>
      <c r="AD913" s="33"/>
    </row>
    <row r="914" spans="29:30" x14ac:dyDescent="0.25">
      <c r="AC914" s="33"/>
      <c r="AD914" s="33"/>
    </row>
    <row r="915" spans="29:30" x14ac:dyDescent="0.25">
      <c r="AC915" s="33"/>
      <c r="AD915" s="33"/>
    </row>
    <row r="916" spans="29:30" x14ac:dyDescent="0.25">
      <c r="AC916" s="33"/>
      <c r="AD916" s="33"/>
    </row>
    <row r="917" spans="29:30" x14ac:dyDescent="0.25">
      <c r="AC917" s="33"/>
      <c r="AD917" s="33"/>
    </row>
    <row r="918" spans="29:30" x14ac:dyDescent="0.25">
      <c r="AC918" s="33"/>
      <c r="AD918" s="33"/>
    </row>
    <row r="919" spans="29:30" x14ac:dyDescent="0.25">
      <c r="AC919" s="33"/>
      <c r="AD919" s="33"/>
    </row>
    <row r="920" spans="29:30" x14ac:dyDescent="0.25">
      <c r="AC920" s="33"/>
      <c r="AD920" s="33"/>
    </row>
    <row r="921" spans="29:30" x14ac:dyDescent="0.25">
      <c r="AC921" s="33"/>
      <c r="AD921" s="33"/>
    </row>
    <row r="922" spans="29:30" x14ac:dyDescent="0.25">
      <c r="AC922" s="33"/>
      <c r="AD922" s="33"/>
    </row>
    <row r="923" spans="29:30" x14ac:dyDescent="0.25">
      <c r="AC923" s="33"/>
      <c r="AD923" s="33"/>
    </row>
    <row r="924" spans="29:30" x14ac:dyDescent="0.25">
      <c r="AC924" s="33"/>
      <c r="AD924" s="33"/>
    </row>
    <row r="925" spans="29:30" x14ac:dyDescent="0.25">
      <c r="AC925" s="33"/>
      <c r="AD925" s="33"/>
    </row>
    <row r="926" spans="29:30" x14ac:dyDescent="0.25">
      <c r="AC926" s="33"/>
      <c r="AD926" s="33"/>
    </row>
    <row r="927" spans="29:30" x14ac:dyDescent="0.25">
      <c r="AC927" s="33"/>
      <c r="AD927" s="33"/>
    </row>
    <row r="928" spans="29:30" x14ac:dyDescent="0.25">
      <c r="AC928" s="33"/>
      <c r="AD928" s="33"/>
    </row>
    <row r="929" spans="29:30" x14ac:dyDescent="0.25">
      <c r="AC929" s="33"/>
      <c r="AD929" s="33"/>
    </row>
    <row r="930" spans="29:30" x14ac:dyDescent="0.25">
      <c r="AC930" s="33"/>
      <c r="AD930" s="33"/>
    </row>
    <row r="931" spans="29:30" x14ac:dyDescent="0.25">
      <c r="AC931" s="33"/>
      <c r="AD931" s="33"/>
    </row>
    <row r="932" spans="29:30" x14ac:dyDescent="0.25">
      <c r="AC932" s="33"/>
      <c r="AD932" s="33"/>
    </row>
    <row r="933" spans="29:30" x14ac:dyDescent="0.25">
      <c r="AC933" s="33"/>
      <c r="AD933" s="33"/>
    </row>
    <row r="934" spans="29:30" x14ac:dyDescent="0.25">
      <c r="AC934" s="33"/>
      <c r="AD934" s="33"/>
    </row>
    <row r="935" spans="29:30" x14ac:dyDescent="0.25">
      <c r="AC935" s="33"/>
      <c r="AD935" s="33"/>
    </row>
    <row r="936" spans="29:30" x14ac:dyDescent="0.25">
      <c r="AC936" s="33"/>
      <c r="AD936" s="33"/>
    </row>
    <row r="937" spans="29:30" x14ac:dyDescent="0.25">
      <c r="AC937" s="33"/>
      <c r="AD937" s="33"/>
    </row>
    <row r="938" spans="29:30" x14ac:dyDescent="0.25">
      <c r="AC938" s="33"/>
      <c r="AD938" s="33"/>
    </row>
    <row r="939" spans="29:30" x14ac:dyDescent="0.25">
      <c r="AC939" s="33"/>
      <c r="AD939" s="33"/>
    </row>
    <row r="940" spans="29:30" x14ac:dyDescent="0.25">
      <c r="AC940" s="33"/>
      <c r="AD940" s="33"/>
    </row>
    <row r="941" spans="29:30" x14ac:dyDescent="0.25">
      <c r="AC941" s="33"/>
      <c r="AD941" s="33"/>
    </row>
    <row r="942" spans="29:30" x14ac:dyDescent="0.25">
      <c r="AC942" s="33"/>
      <c r="AD942" s="33"/>
    </row>
    <row r="943" spans="29:30" x14ac:dyDescent="0.25">
      <c r="AC943" s="33"/>
      <c r="AD943" s="33"/>
    </row>
    <row r="944" spans="29:30" x14ac:dyDescent="0.25">
      <c r="AC944" s="33"/>
      <c r="AD944" s="33"/>
    </row>
    <row r="945" spans="29:30" x14ac:dyDescent="0.25">
      <c r="AC945" s="33"/>
      <c r="AD945" s="33"/>
    </row>
    <row r="946" spans="29:30" x14ac:dyDescent="0.25">
      <c r="AC946" s="33"/>
      <c r="AD946" s="33"/>
    </row>
    <row r="947" spans="29:30" x14ac:dyDescent="0.25">
      <c r="AC947" s="33"/>
      <c r="AD947" s="33"/>
    </row>
    <row r="948" spans="29:30" x14ac:dyDescent="0.25">
      <c r="AC948" s="33"/>
      <c r="AD948" s="33"/>
    </row>
    <row r="949" spans="29:30" x14ac:dyDescent="0.25">
      <c r="AC949" s="33"/>
      <c r="AD949" s="33"/>
    </row>
    <row r="950" spans="29:30" x14ac:dyDescent="0.25">
      <c r="AC950" s="33"/>
      <c r="AD950" s="33"/>
    </row>
    <row r="951" spans="29:30" x14ac:dyDescent="0.25">
      <c r="AC951" s="33"/>
      <c r="AD951" s="33"/>
    </row>
    <row r="952" spans="29:30" x14ac:dyDescent="0.25">
      <c r="AC952" s="33"/>
      <c r="AD952" s="33"/>
    </row>
    <row r="953" spans="29:30" x14ac:dyDescent="0.25">
      <c r="AC953" s="33"/>
      <c r="AD953" s="33"/>
    </row>
    <row r="954" spans="29:30" x14ac:dyDescent="0.25">
      <c r="AC954" s="33"/>
      <c r="AD954" s="33"/>
    </row>
    <row r="955" spans="29:30" x14ac:dyDescent="0.25">
      <c r="AC955" s="33"/>
      <c r="AD955" s="33"/>
    </row>
    <row r="956" spans="29:30" x14ac:dyDescent="0.25">
      <c r="AC956" s="33"/>
      <c r="AD956" s="33"/>
    </row>
    <row r="957" spans="29:30" x14ac:dyDescent="0.25">
      <c r="AC957" s="33"/>
      <c r="AD957" s="33"/>
    </row>
    <row r="958" spans="29:30" x14ac:dyDescent="0.25">
      <c r="AC958" s="33"/>
      <c r="AD958" s="33"/>
    </row>
    <row r="959" spans="29:30" x14ac:dyDescent="0.25">
      <c r="AC959" s="33"/>
      <c r="AD959" s="33"/>
    </row>
    <row r="960" spans="29:30" x14ac:dyDescent="0.25">
      <c r="AC960" s="33"/>
      <c r="AD960" s="33"/>
    </row>
    <row r="961" spans="29:30" x14ac:dyDescent="0.25">
      <c r="AC961" s="33"/>
      <c r="AD961" s="33"/>
    </row>
    <row r="962" spans="29:30" x14ac:dyDescent="0.25">
      <c r="AC962" s="33"/>
      <c r="AD962" s="33"/>
    </row>
    <row r="963" spans="29:30" x14ac:dyDescent="0.25">
      <c r="AC963" s="33"/>
      <c r="AD963" s="33"/>
    </row>
    <row r="964" spans="29:30" x14ac:dyDescent="0.25">
      <c r="AC964" s="33"/>
      <c r="AD964" s="33"/>
    </row>
    <row r="965" spans="29:30" x14ac:dyDescent="0.25">
      <c r="AC965" s="33"/>
      <c r="AD965" s="33"/>
    </row>
    <row r="966" spans="29:30" x14ac:dyDescent="0.25">
      <c r="AC966" s="33"/>
      <c r="AD966" s="33"/>
    </row>
    <row r="967" spans="29:30" x14ac:dyDescent="0.25">
      <c r="AC967" s="33"/>
      <c r="AD967" s="33"/>
    </row>
    <row r="968" spans="29:30" x14ac:dyDescent="0.25">
      <c r="AC968" s="33"/>
      <c r="AD968" s="33"/>
    </row>
    <row r="969" spans="29:30" x14ac:dyDescent="0.25">
      <c r="AC969" s="33"/>
      <c r="AD969" s="33"/>
    </row>
    <row r="970" spans="29:30" x14ac:dyDescent="0.25">
      <c r="AC970" s="33"/>
      <c r="AD970" s="33"/>
    </row>
    <row r="971" spans="29:30" x14ac:dyDescent="0.25">
      <c r="AC971" s="33"/>
      <c r="AD971" s="33"/>
    </row>
    <row r="972" spans="29:30" x14ac:dyDescent="0.25">
      <c r="AC972" s="33"/>
      <c r="AD972" s="33"/>
    </row>
    <row r="973" spans="29:30" x14ac:dyDescent="0.25">
      <c r="AC973" s="33"/>
      <c r="AD973" s="33"/>
    </row>
    <row r="974" spans="29:30" x14ac:dyDescent="0.25">
      <c r="AC974" s="33"/>
      <c r="AD974" s="33"/>
    </row>
    <row r="975" spans="29:30" x14ac:dyDescent="0.25">
      <c r="AC975" s="33"/>
      <c r="AD975" s="33"/>
    </row>
    <row r="976" spans="29:30" x14ac:dyDescent="0.25">
      <c r="AC976" s="33"/>
      <c r="AD976" s="33"/>
    </row>
    <row r="977" spans="29:30" x14ac:dyDescent="0.25">
      <c r="AC977" s="33"/>
      <c r="AD977" s="33"/>
    </row>
    <row r="978" spans="29:30" x14ac:dyDescent="0.25">
      <c r="AC978" s="33"/>
      <c r="AD978" s="33"/>
    </row>
    <row r="979" spans="29:30" x14ac:dyDescent="0.25">
      <c r="AC979" s="33"/>
      <c r="AD979" s="33"/>
    </row>
    <row r="980" spans="29:30" x14ac:dyDescent="0.25">
      <c r="AC980" s="33"/>
      <c r="AD980" s="33"/>
    </row>
    <row r="981" spans="29:30" x14ac:dyDescent="0.25">
      <c r="AC981" s="33"/>
      <c r="AD981" s="33"/>
    </row>
    <row r="982" spans="29:30" x14ac:dyDescent="0.25">
      <c r="AC982" s="33"/>
      <c r="AD982" s="33"/>
    </row>
    <row r="983" spans="29:30" x14ac:dyDescent="0.25">
      <c r="AC983" s="33"/>
      <c r="AD983" s="33"/>
    </row>
    <row r="984" spans="29:30" x14ac:dyDescent="0.25">
      <c r="AC984" s="33"/>
      <c r="AD984" s="33"/>
    </row>
    <row r="985" spans="29:30" x14ac:dyDescent="0.25">
      <c r="AC985" s="33"/>
      <c r="AD985" s="33"/>
    </row>
    <row r="986" spans="29:30" x14ac:dyDescent="0.25">
      <c r="AC986" s="33"/>
      <c r="AD986" s="33"/>
    </row>
    <row r="987" spans="29:30" x14ac:dyDescent="0.25">
      <c r="AC987" s="33"/>
      <c r="AD987" s="33"/>
    </row>
    <row r="988" spans="29:30" x14ac:dyDescent="0.25">
      <c r="AC988" s="33"/>
      <c r="AD988" s="33"/>
    </row>
    <row r="989" spans="29:30" x14ac:dyDescent="0.25">
      <c r="AC989" s="33"/>
      <c r="AD989" s="33"/>
    </row>
    <row r="990" spans="29:30" x14ac:dyDescent="0.25">
      <c r="AC990" s="33"/>
      <c r="AD990" s="33"/>
    </row>
    <row r="991" spans="29:30" x14ac:dyDescent="0.25">
      <c r="AC991" s="33"/>
      <c r="AD991" s="33"/>
    </row>
    <row r="992" spans="29:30" x14ac:dyDescent="0.25">
      <c r="AC992" s="33"/>
      <c r="AD992" s="33"/>
    </row>
    <row r="993" spans="29:30" x14ac:dyDescent="0.25">
      <c r="AC993" s="33"/>
      <c r="AD993" s="33"/>
    </row>
    <row r="994" spans="29:30" x14ac:dyDescent="0.25">
      <c r="AC994" s="33"/>
      <c r="AD994" s="33"/>
    </row>
    <row r="995" spans="29:30" x14ac:dyDescent="0.25">
      <c r="AC995" s="33"/>
      <c r="AD995" s="33"/>
    </row>
  </sheetData>
  <sortState xmlns:xlrd2="http://schemas.microsoft.com/office/spreadsheetml/2017/richdata2" ref="A2:AF137">
    <sortCondition ref="A2:A137"/>
  </sortState>
  <phoneticPr fontId="3" type="noConversion"/>
  <conditionalFormatting sqref="AB1:AF9 AC10:AF12 AB10:AB136 E137:AF137 AB138:AB994">
    <cfRule type="cellIs" dxfId="0" priority="1" operator="lessThan">
      <formula>0</formula>
    </cfRule>
  </conditionalFormatting>
  <dataValidations count="1">
    <dataValidation type="custom" allowBlank="1" showDropDown="1" sqref="Y101:Y102 Y105:Y117 D124 D125:I136 Y124:Y136 Y56:Y98 E32:H124 D32:D108 U56:X136 D13:H31 AA13:AA136 I13:I124 U13:Y55 O13:T136" xr:uid="{8FCCCF8D-A982-4ECC-8B53-E3BEBA112740}">
      <formula1>AND(ISNUMBER(D13),(NOT(OR(NOT(ISERROR(DATEVALUE(D13))), AND(ISNUMBER(D13), LEFT(CELL("format", D13))="D")))))</formula1>
    </dataValidation>
  </dataValidations>
  <printOptions horizontalCentered="1" gridLines="1"/>
  <pageMargins left="0.25" right="0.25" top="0.75" bottom="0.75" header="0.3" footer="0.3"/>
  <pageSetup paperSize="9" scale="18" fitToHeight="0" orientation="portrait" r:id="rId1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C83-91E4-41B7-8CF8-86E9AAFC4374}">
  <sheetPr codeName="Sheet9"/>
  <dimension ref="A1:X589"/>
  <sheetViews>
    <sheetView tabSelected="1" workbookViewId="0">
      <pane xSplit="1" ySplit="1" topLeftCell="B104" activePane="bottomRight" state="frozen"/>
      <selection activeCell="B16" sqref="B16"/>
      <selection pane="topRight" activeCell="B16" sqref="B16"/>
      <selection pane="bottomLeft" activeCell="B16" sqref="B16"/>
      <selection pane="bottomRight" activeCell="D119" sqref="D119"/>
    </sheetView>
  </sheetViews>
  <sheetFormatPr defaultColWidth="14.42578125" defaultRowHeight="18" x14ac:dyDescent="0.25"/>
  <cols>
    <col min="1" max="1" width="14" style="8" bestFit="1" customWidth="1"/>
    <col min="2" max="2" width="17.28515625" style="7" bestFit="1" customWidth="1"/>
    <col min="3" max="3" width="91.140625" style="7" bestFit="1" customWidth="1"/>
    <col min="4" max="4" width="18.5703125" style="9" bestFit="1" customWidth="1"/>
    <col min="5" max="5" width="41.28515625" style="7" bestFit="1" customWidth="1"/>
    <col min="6" max="6" width="20.7109375" style="7" bestFit="1" customWidth="1"/>
    <col min="7" max="7" width="4.85546875" style="7" customWidth="1"/>
    <col min="8" max="23" width="24.140625" style="7" customWidth="1"/>
    <col min="24" max="16384" width="14.42578125" style="7"/>
  </cols>
  <sheetData>
    <row r="1" spans="1:24" x14ac:dyDescent="0.25">
      <c r="A1" s="5" t="s">
        <v>159</v>
      </c>
      <c r="B1" s="1" t="s">
        <v>238</v>
      </c>
      <c r="C1" s="2" t="s">
        <v>239</v>
      </c>
      <c r="D1" s="6" t="s">
        <v>132</v>
      </c>
      <c r="E1" s="3" t="s">
        <v>240</v>
      </c>
      <c r="F1" s="36">
        <f>SUMIF(E1:E1000, "&lt;&gt;", D1:D1000)</f>
        <v>5264265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8">
        <v>46278</v>
      </c>
      <c r="B2" s="7" t="s">
        <v>243</v>
      </c>
      <c r="C2" s="7" t="s">
        <v>293</v>
      </c>
      <c r="D2" s="9">
        <v>60000</v>
      </c>
      <c r="E2" s="7" t="s">
        <v>297</v>
      </c>
    </row>
    <row r="3" spans="1:24" x14ac:dyDescent="0.25">
      <c r="A3" s="8">
        <v>46306</v>
      </c>
      <c r="B3" s="7" t="s">
        <v>243</v>
      </c>
      <c r="C3" s="7" t="s">
        <v>457</v>
      </c>
      <c r="D3" s="9">
        <v>21180</v>
      </c>
      <c r="E3" s="7" t="s">
        <v>297</v>
      </c>
    </row>
    <row r="4" spans="1:24" x14ac:dyDescent="0.25">
      <c r="A4" s="8">
        <v>46300</v>
      </c>
      <c r="B4" s="7" t="s">
        <v>243</v>
      </c>
      <c r="C4" s="7" t="s">
        <v>440</v>
      </c>
      <c r="D4" s="9">
        <v>40000</v>
      </c>
      <c r="E4" s="7" t="s">
        <v>450</v>
      </c>
    </row>
    <row r="5" spans="1:24" x14ac:dyDescent="0.25">
      <c r="A5" s="8">
        <v>46277</v>
      </c>
      <c r="B5" s="7" t="s">
        <v>243</v>
      </c>
      <c r="C5" s="7" t="s">
        <v>288</v>
      </c>
      <c r="D5" s="9">
        <v>30000</v>
      </c>
      <c r="E5" s="7" t="s">
        <v>289</v>
      </c>
      <c r="H5" s="9"/>
    </row>
    <row r="6" spans="1:24" x14ac:dyDescent="0.25">
      <c r="A6" s="8">
        <v>46265</v>
      </c>
      <c r="B6" s="7" t="s">
        <v>243</v>
      </c>
      <c r="C6" s="7" t="s">
        <v>252</v>
      </c>
      <c r="D6" s="9">
        <v>60000</v>
      </c>
      <c r="E6" s="7" t="s">
        <v>254</v>
      </c>
    </row>
    <row r="7" spans="1:24" x14ac:dyDescent="0.25">
      <c r="A7" s="8">
        <v>46280</v>
      </c>
      <c r="B7" s="7" t="s">
        <v>243</v>
      </c>
      <c r="C7" s="11" t="s">
        <v>313</v>
      </c>
      <c r="D7" s="12">
        <v>40000</v>
      </c>
      <c r="E7" s="11" t="s">
        <v>359</v>
      </c>
    </row>
    <row r="8" spans="1:24" x14ac:dyDescent="0.25">
      <c r="A8" s="8">
        <v>46282</v>
      </c>
      <c r="B8" s="7" t="s">
        <v>243</v>
      </c>
      <c r="C8" s="7" t="s">
        <v>313</v>
      </c>
      <c r="D8" s="9">
        <v>50000</v>
      </c>
      <c r="E8" s="7" t="s">
        <v>359</v>
      </c>
    </row>
    <row r="9" spans="1:24" x14ac:dyDescent="0.25">
      <c r="A9" s="8">
        <v>46286</v>
      </c>
      <c r="B9" s="7" t="s">
        <v>243</v>
      </c>
      <c r="C9" s="7" t="s">
        <v>313</v>
      </c>
      <c r="D9" s="9">
        <v>29000</v>
      </c>
      <c r="E9" s="7" t="s">
        <v>359</v>
      </c>
    </row>
    <row r="10" spans="1:24" x14ac:dyDescent="0.25">
      <c r="A10" s="8">
        <v>46286</v>
      </c>
      <c r="B10" s="7" t="s">
        <v>243</v>
      </c>
      <c r="C10" s="7" t="s">
        <v>366</v>
      </c>
      <c r="D10" s="9">
        <v>50000</v>
      </c>
      <c r="E10" s="7" t="s">
        <v>373</v>
      </c>
    </row>
    <row r="11" spans="1:24" x14ac:dyDescent="0.25">
      <c r="A11" s="8">
        <v>46299</v>
      </c>
      <c r="B11" s="7" t="s">
        <v>243</v>
      </c>
      <c r="C11" s="7" t="s">
        <v>366</v>
      </c>
      <c r="D11" s="9">
        <v>20000</v>
      </c>
      <c r="E11" s="7" t="s">
        <v>373</v>
      </c>
    </row>
    <row r="12" spans="1:24" x14ac:dyDescent="0.25">
      <c r="A12" s="8">
        <v>46268</v>
      </c>
      <c r="B12" s="7" t="s">
        <v>243</v>
      </c>
      <c r="C12" s="7" t="s">
        <v>258</v>
      </c>
      <c r="D12" s="9">
        <v>42140</v>
      </c>
      <c r="E12" s="7" t="s">
        <v>259</v>
      </c>
    </row>
    <row r="13" spans="1:24" s="8" customFormat="1" x14ac:dyDescent="0.25">
      <c r="A13" s="8">
        <v>46280</v>
      </c>
      <c r="B13" s="7" t="s">
        <v>243</v>
      </c>
      <c r="C13" s="7" t="s">
        <v>330</v>
      </c>
      <c r="D13" s="9">
        <v>80000</v>
      </c>
      <c r="E13" s="7" t="s">
        <v>331</v>
      </c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8" customFormat="1" x14ac:dyDescent="0.25">
      <c r="A14" s="8">
        <v>46280</v>
      </c>
      <c r="B14" s="7" t="s">
        <v>243</v>
      </c>
      <c r="C14" s="7" t="s">
        <v>311</v>
      </c>
      <c r="D14" s="9">
        <v>120210</v>
      </c>
      <c r="E14" s="7" t="s">
        <v>329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8" customFormat="1" x14ac:dyDescent="0.25">
      <c r="A15" s="8">
        <v>46255</v>
      </c>
      <c r="B15" s="7" t="s">
        <v>243</v>
      </c>
      <c r="C15" s="7" t="s">
        <v>246</v>
      </c>
      <c r="D15" s="9">
        <v>43000</v>
      </c>
      <c r="E15" s="7" t="s">
        <v>247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8" customFormat="1" x14ac:dyDescent="0.25">
      <c r="A16" s="8">
        <v>46262</v>
      </c>
      <c r="B16" s="7" t="s">
        <v>243</v>
      </c>
      <c r="C16" s="7" t="s">
        <v>246</v>
      </c>
      <c r="D16" s="9">
        <v>33000</v>
      </c>
      <c r="E16" s="7" t="s">
        <v>247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8" customFormat="1" x14ac:dyDescent="0.25">
      <c r="A17" s="8">
        <v>46262</v>
      </c>
      <c r="B17" s="7" t="s">
        <v>243</v>
      </c>
      <c r="C17" s="7" t="s">
        <v>246</v>
      </c>
      <c r="D17" s="9">
        <v>615</v>
      </c>
      <c r="E17" s="7" t="s">
        <v>247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8" customFormat="1" x14ac:dyDescent="0.25">
      <c r="A18" s="8">
        <v>46263</v>
      </c>
      <c r="B18" s="7" t="s">
        <v>243</v>
      </c>
      <c r="C18" s="7" t="s">
        <v>246</v>
      </c>
      <c r="D18" s="9">
        <v>18000</v>
      </c>
      <c r="E18" s="7" t="s">
        <v>247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s="8" customFormat="1" x14ac:dyDescent="0.25">
      <c r="A19" s="8">
        <v>46278</v>
      </c>
      <c r="B19" s="7" t="s">
        <v>243</v>
      </c>
      <c r="C19" s="7" t="s">
        <v>298</v>
      </c>
      <c r="D19" s="9">
        <v>30000</v>
      </c>
      <c r="E19" s="7" t="s">
        <v>247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s="8" customFormat="1" x14ac:dyDescent="0.25">
      <c r="A20" s="8">
        <v>46279</v>
      </c>
      <c r="B20" s="7" t="s">
        <v>243</v>
      </c>
      <c r="C20" s="7" t="s">
        <v>298</v>
      </c>
      <c r="D20" s="9">
        <v>8000</v>
      </c>
      <c r="E20" s="7" t="s">
        <v>247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s="8" customFormat="1" x14ac:dyDescent="0.25">
      <c r="A21" s="8">
        <v>46280</v>
      </c>
      <c r="B21" s="7" t="s">
        <v>243</v>
      </c>
      <c r="C21" s="7" t="s">
        <v>298</v>
      </c>
      <c r="D21" s="9">
        <v>20000</v>
      </c>
      <c r="E21" s="7" t="s">
        <v>247</v>
      </c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s="8" customFormat="1" x14ac:dyDescent="0.25">
      <c r="A22" s="8">
        <v>46295</v>
      </c>
      <c r="B22" s="7" t="s">
        <v>243</v>
      </c>
      <c r="C22" s="7" t="s">
        <v>298</v>
      </c>
      <c r="D22" s="9">
        <v>48000</v>
      </c>
      <c r="E22" s="7" t="s">
        <v>247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s="8" customFormat="1" x14ac:dyDescent="0.25">
      <c r="A23" s="8">
        <v>46300</v>
      </c>
      <c r="B23" s="7" t="s">
        <v>243</v>
      </c>
      <c r="C23" s="7" t="s">
        <v>439</v>
      </c>
      <c r="D23" s="9">
        <v>20000</v>
      </c>
      <c r="E23" s="7" t="s">
        <v>451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8" customFormat="1" x14ac:dyDescent="0.25">
      <c r="A24" s="8">
        <v>46278</v>
      </c>
      <c r="B24" s="7" t="s">
        <v>263</v>
      </c>
      <c r="C24" s="7" t="s">
        <v>294</v>
      </c>
      <c r="D24" s="9">
        <v>62230</v>
      </c>
      <c r="E24" s="7" t="s">
        <v>296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8" customFormat="1" x14ac:dyDescent="0.25">
      <c r="A25" s="8">
        <v>46271</v>
      </c>
      <c r="B25" s="7" t="s">
        <v>243</v>
      </c>
      <c r="C25" s="7" t="s">
        <v>260</v>
      </c>
      <c r="D25" s="9">
        <v>60000</v>
      </c>
      <c r="E25" s="7" t="s">
        <v>261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8" customFormat="1" x14ac:dyDescent="0.25">
      <c r="A26" s="8">
        <v>46286</v>
      </c>
      <c r="B26" s="7" t="s">
        <v>243</v>
      </c>
      <c r="C26" s="7" t="s">
        <v>369</v>
      </c>
      <c r="D26" s="9">
        <v>27000</v>
      </c>
      <c r="E26" s="7" t="s">
        <v>372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s="8" customFormat="1" x14ac:dyDescent="0.25">
      <c r="A27" s="8">
        <v>46286</v>
      </c>
      <c r="B27" s="7" t="s">
        <v>263</v>
      </c>
      <c r="C27" s="7" t="s">
        <v>370</v>
      </c>
      <c r="D27" s="9">
        <v>16140</v>
      </c>
      <c r="E27" s="7" t="s">
        <v>372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s="8" customFormat="1" x14ac:dyDescent="0.25">
      <c r="A28" s="8">
        <v>46280</v>
      </c>
      <c r="B28" s="7" t="s">
        <v>243</v>
      </c>
      <c r="C28" s="7" t="s">
        <v>314</v>
      </c>
      <c r="D28" s="9">
        <v>40000</v>
      </c>
      <c r="E28" s="7" t="s">
        <v>320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s="8" customFormat="1" x14ac:dyDescent="0.25">
      <c r="A29" s="8">
        <v>46278</v>
      </c>
      <c r="B29" s="7" t="s">
        <v>263</v>
      </c>
      <c r="C29" s="7" t="s">
        <v>299</v>
      </c>
      <c r="D29" s="9">
        <v>43140</v>
      </c>
      <c r="E29" s="7" t="s">
        <v>300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s="8" customFormat="1" x14ac:dyDescent="0.25">
      <c r="A30" s="8">
        <v>46280</v>
      </c>
      <c r="B30" s="7" t="s">
        <v>243</v>
      </c>
      <c r="C30" s="7" t="s">
        <v>312</v>
      </c>
      <c r="D30" s="9">
        <v>60000</v>
      </c>
      <c r="E30" s="7" t="s">
        <v>326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s="8" customFormat="1" x14ac:dyDescent="0.25">
      <c r="A31" s="8">
        <v>46265</v>
      </c>
      <c r="B31" s="7" t="s">
        <v>243</v>
      </c>
      <c r="C31" s="7" t="s">
        <v>253</v>
      </c>
      <c r="D31" s="9">
        <v>50430</v>
      </c>
      <c r="E31" s="7" t="s">
        <v>255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s="8" customFormat="1" x14ac:dyDescent="0.25">
      <c r="A32" s="8">
        <v>46301</v>
      </c>
      <c r="B32" s="7" t="s">
        <v>263</v>
      </c>
      <c r="C32" s="7" t="s">
        <v>447</v>
      </c>
      <c r="D32" s="9">
        <v>10000</v>
      </c>
      <c r="E32" s="7" t="s">
        <v>255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s="8" customFormat="1" x14ac:dyDescent="0.25">
      <c r="A33" s="8">
        <v>46297</v>
      </c>
      <c r="B33" s="7" t="s">
        <v>243</v>
      </c>
      <c r="C33" s="7" t="s">
        <v>426</v>
      </c>
      <c r="D33" s="9">
        <v>70000</v>
      </c>
      <c r="E33" s="8" t="s">
        <v>434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s="8" customFormat="1" x14ac:dyDescent="0.25">
      <c r="A34" s="8">
        <v>46276</v>
      </c>
      <c r="B34" s="7" t="s">
        <v>243</v>
      </c>
      <c r="C34" s="7" t="s">
        <v>284</v>
      </c>
      <c r="D34" s="9">
        <v>28000</v>
      </c>
      <c r="E34" s="7" t="s">
        <v>291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s="8" customFormat="1" x14ac:dyDescent="0.25">
      <c r="A35" s="8">
        <v>46280</v>
      </c>
      <c r="B35" s="7" t="s">
        <v>243</v>
      </c>
      <c r="C35" s="7" t="s">
        <v>284</v>
      </c>
      <c r="D35" s="9">
        <v>15140</v>
      </c>
      <c r="E35" s="7" t="s">
        <v>291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s="8" customFormat="1" x14ac:dyDescent="0.25">
      <c r="A36" s="8">
        <v>46306</v>
      </c>
      <c r="B36" s="7" t="s">
        <v>243</v>
      </c>
      <c r="C36" s="7" t="s">
        <v>456</v>
      </c>
      <c r="D36" s="9">
        <v>56930</v>
      </c>
      <c r="E36" s="7" t="s">
        <v>458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s="8" customFormat="1" x14ac:dyDescent="0.25">
      <c r="A37" s="8">
        <v>46283</v>
      </c>
      <c r="B37" s="7" t="s">
        <v>243</v>
      </c>
      <c r="C37" s="7" t="s">
        <v>358</v>
      </c>
      <c r="D37" s="9">
        <v>50000</v>
      </c>
      <c r="E37" s="7" t="s">
        <v>394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s="8" customFormat="1" x14ac:dyDescent="0.25">
      <c r="A38" s="8">
        <v>46301</v>
      </c>
      <c r="B38" s="7" t="s">
        <v>243</v>
      </c>
      <c r="C38" s="7" t="s">
        <v>443</v>
      </c>
      <c r="D38" s="9">
        <v>20000</v>
      </c>
      <c r="E38" s="7" t="s">
        <v>449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" customFormat="1" x14ac:dyDescent="0.25">
      <c r="A39" s="8">
        <v>46287</v>
      </c>
      <c r="B39" s="7" t="s">
        <v>243</v>
      </c>
      <c r="C39" s="7" t="s">
        <v>424</v>
      </c>
      <c r="D39" s="9">
        <v>30000</v>
      </c>
      <c r="E39" s="7" t="s">
        <v>392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s="8" customFormat="1" x14ac:dyDescent="0.25">
      <c r="A40" s="8">
        <v>46300</v>
      </c>
      <c r="B40" s="7" t="s">
        <v>243</v>
      </c>
      <c r="C40" s="7" t="s">
        <v>429</v>
      </c>
      <c r="D40" s="9">
        <v>25000</v>
      </c>
      <c r="E40" s="7" t="s">
        <v>433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s="8" customFormat="1" x14ac:dyDescent="0.25">
      <c r="A41" s="8">
        <v>46302</v>
      </c>
      <c r="B41" s="7" t="s">
        <v>263</v>
      </c>
      <c r="C41" s="7" t="s">
        <v>452</v>
      </c>
      <c r="D41" s="9">
        <v>30000</v>
      </c>
      <c r="E41" s="7" t="s">
        <v>454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s="8" customFormat="1" x14ac:dyDescent="0.25">
      <c r="A42" s="8">
        <v>46278</v>
      </c>
      <c r="B42" s="7" t="s">
        <v>243</v>
      </c>
      <c r="C42" s="7" t="s">
        <v>292</v>
      </c>
      <c r="D42" s="9">
        <v>50000</v>
      </c>
      <c r="E42" s="7" t="s">
        <v>295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s="8" customFormat="1" x14ac:dyDescent="0.25">
      <c r="A43" s="8">
        <v>46301</v>
      </c>
      <c r="B43" s="7" t="s">
        <v>243</v>
      </c>
      <c r="C43" s="7" t="s">
        <v>445</v>
      </c>
      <c r="D43" s="9">
        <v>30000</v>
      </c>
      <c r="E43" s="7" t="s">
        <v>448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s="8" customFormat="1" x14ac:dyDescent="0.25">
      <c r="A44" s="8">
        <v>46270</v>
      </c>
      <c r="B44" s="7" t="s">
        <v>263</v>
      </c>
      <c r="C44" s="7" t="s">
        <v>262</v>
      </c>
      <c r="D44" s="9">
        <v>79020</v>
      </c>
      <c r="E44" s="7" t="s">
        <v>268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s="8" customFormat="1" x14ac:dyDescent="0.25">
      <c r="A45" s="8">
        <v>46238</v>
      </c>
      <c r="B45" s="7" t="s">
        <v>243</v>
      </c>
      <c r="C45" s="7" t="s">
        <v>242</v>
      </c>
      <c r="D45" s="9">
        <v>48000</v>
      </c>
      <c r="E45" s="7" t="s">
        <v>244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s="8" customFormat="1" x14ac:dyDescent="0.25">
      <c r="A46" s="8">
        <v>46282</v>
      </c>
      <c r="B46" s="7" t="s">
        <v>243</v>
      </c>
      <c r="C46" s="7" t="s">
        <v>242</v>
      </c>
      <c r="D46" s="9">
        <v>35180</v>
      </c>
      <c r="E46" s="7" t="s">
        <v>244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s="8" customFormat="1" x14ac:dyDescent="0.25">
      <c r="A47" s="8">
        <v>46270</v>
      </c>
      <c r="B47" s="7" t="s">
        <v>263</v>
      </c>
      <c r="C47" s="7" t="s">
        <v>264</v>
      </c>
      <c r="D47" s="9">
        <v>42350</v>
      </c>
      <c r="E47" s="7" t="s">
        <v>267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s="8" customFormat="1" x14ac:dyDescent="0.25">
      <c r="A48" s="8">
        <v>46282</v>
      </c>
      <c r="B48" s="7" t="s">
        <v>263</v>
      </c>
      <c r="C48" s="7" t="s">
        <v>264</v>
      </c>
      <c r="D48" s="9">
        <v>40000</v>
      </c>
      <c r="E48" s="7" t="s">
        <v>267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10" customFormat="1" x14ac:dyDescent="0.25">
      <c r="A49" s="8">
        <v>46306</v>
      </c>
      <c r="B49" s="7" t="s">
        <v>263</v>
      </c>
      <c r="C49" s="7" t="s">
        <v>264</v>
      </c>
      <c r="D49" s="9">
        <v>450</v>
      </c>
      <c r="E49" s="7" t="s">
        <v>267</v>
      </c>
      <c r="F49" s="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s="10" customFormat="1" x14ac:dyDescent="0.25">
      <c r="A50" s="8">
        <v>46279</v>
      </c>
      <c r="B50" s="7" t="s">
        <v>243</v>
      </c>
      <c r="C50" s="7" t="s">
        <v>303</v>
      </c>
      <c r="D50" s="9">
        <v>100000</v>
      </c>
      <c r="E50" s="7" t="s">
        <v>411</v>
      </c>
      <c r="F50" s="7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s="10" customFormat="1" x14ac:dyDescent="0.25">
      <c r="A51" s="8">
        <v>46280</v>
      </c>
      <c r="B51" s="7" t="s">
        <v>243</v>
      </c>
      <c r="C51" s="11" t="s">
        <v>316</v>
      </c>
      <c r="D51" s="12">
        <v>40000</v>
      </c>
      <c r="E51" s="11" t="s">
        <v>321</v>
      </c>
      <c r="F51" s="7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s="10" customFormat="1" x14ac:dyDescent="0.25">
      <c r="A52" s="8">
        <v>46289</v>
      </c>
      <c r="B52" s="7" t="s">
        <v>243</v>
      </c>
      <c r="C52" s="7" t="s">
        <v>316</v>
      </c>
      <c r="D52" s="9">
        <v>88000</v>
      </c>
      <c r="E52" s="7" t="s">
        <v>321</v>
      </c>
      <c r="F52" s="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s="10" customFormat="1" x14ac:dyDescent="0.25">
      <c r="A53" s="8">
        <v>46273</v>
      </c>
      <c r="B53" s="7" t="s">
        <v>243</v>
      </c>
      <c r="C53" s="7" t="s">
        <v>270</v>
      </c>
      <c r="D53" s="9">
        <v>33000</v>
      </c>
      <c r="E53" s="7" t="s">
        <v>275</v>
      </c>
      <c r="F53" s="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s="8" customFormat="1" x14ac:dyDescent="0.25">
      <c r="A54" s="8">
        <v>46273</v>
      </c>
      <c r="B54" s="7" t="s">
        <v>263</v>
      </c>
      <c r="C54" s="7" t="s">
        <v>271</v>
      </c>
      <c r="D54" s="9">
        <v>6840</v>
      </c>
      <c r="E54" s="7" t="s">
        <v>275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8" customFormat="1" x14ac:dyDescent="0.25">
      <c r="A55" s="8">
        <v>46281</v>
      </c>
      <c r="B55" s="7" t="s">
        <v>263</v>
      </c>
      <c r="C55" s="7" t="s">
        <v>271</v>
      </c>
      <c r="D55" s="9">
        <v>5300</v>
      </c>
      <c r="E55" s="7" t="s">
        <v>275</v>
      </c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8" customFormat="1" x14ac:dyDescent="0.25">
      <c r="A56" s="8">
        <v>46281</v>
      </c>
      <c r="B56" s="7" t="s">
        <v>263</v>
      </c>
      <c r="C56" s="7" t="s">
        <v>271</v>
      </c>
      <c r="D56" s="9">
        <v>5300</v>
      </c>
      <c r="E56" s="7" t="s">
        <v>275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8" customFormat="1" x14ac:dyDescent="0.25">
      <c r="A57" s="8">
        <v>46273</v>
      </c>
      <c r="B57" s="7" t="s">
        <v>263</v>
      </c>
      <c r="C57" s="7" t="s">
        <v>272</v>
      </c>
      <c r="D57" s="9">
        <v>200000</v>
      </c>
      <c r="E57" s="7" t="s">
        <v>274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8" customFormat="1" x14ac:dyDescent="0.25">
      <c r="A58" s="8">
        <v>46286</v>
      </c>
      <c r="B58" s="7" t="s">
        <v>263</v>
      </c>
      <c r="C58" s="7" t="s">
        <v>371</v>
      </c>
      <c r="D58" s="9">
        <v>56930</v>
      </c>
      <c r="E58" s="7" t="s">
        <v>377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8" customFormat="1" x14ac:dyDescent="0.25">
      <c r="A59" s="8">
        <v>46300</v>
      </c>
      <c r="B59" s="7" t="s">
        <v>243</v>
      </c>
      <c r="C59" s="7" t="s">
        <v>430</v>
      </c>
      <c r="D59" s="9">
        <v>50000</v>
      </c>
      <c r="E59" s="7" t="s">
        <v>432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8" customFormat="1" x14ac:dyDescent="0.25">
      <c r="A60" s="8">
        <v>46297</v>
      </c>
      <c r="B60" s="7" t="s">
        <v>243</v>
      </c>
      <c r="C60" s="7" t="s">
        <v>427</v>
      </c>
      <c r="D60" s="9">
        <v>30000</v>
      </c>
      <c r="E60" s="7" t="s">
        <v>435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8" customFormat="1" x14ac:dyDescent="0.25">
      <c r="A61" s="8">
        <v>46264</v>
      </c>
      <c r="B61" s="7" t="s">
        <v>243</v>
      </c>
      <c r="C61" s="7" t="s">
        <v>249</v>
      </c>
      <c r="D61" s="9">
        <v>51930</v>
      </c>
      <c r="E61" s="7" t="s">
        <v>250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8" customFormat="1" x14ac:dyDescent="0.25">
      <c r="A62" s="8">
        <v>46279</v>
      </c>
      <c r="B62" s="7" t="s">
        <v>263</v>
      </c>
      <c r="C62" s="7" t="s">
        <v>305</v>
      </c>
      <c r="D62" s="9">
        <v>25000</v>
      </c>
      <c r="E62" s="7" t="s">
        <v>306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8" customFormat="1" x14ac:dyDescent="0.25">
      <c r="A63" s="8">
        <v>46280</v>
      </c>
      <c r="B63" s="7" t="s">
        <v>243</v>
      </c>
      <c r="C63" s="7" t="s">
        <v>335</v>
      </c>
      <c r="D63" s="9">
        <v>50000</v>
      </c>
      <c r="E63" s="7" t="s">
        <v>336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8" customFormat="1" x14ac:dyDescent="0.25">
      <c r="A64" s="8">
        <v>46288</v>
      </c>
      <c r="B64" s="7" t="s">
        <v>243</v>
      </c>
      <c r="C64" s="7" t="s">
        <v>388</v>
      </c>
      <c r="D64" s="9">
        <v>100000</v>
      </c>
      <c r="E64" s="7" t="s">
        <v>391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8" customFormat="1" x14ac:dyDescent="0.25">
      <c r="A65" s="8">
        <v>46280</v>
      </c>
      <c r="B65" s="7" t="s">
        <v>243</v>
      </c>
      <c r="C65" s="7" t="s">
        <v>307</v>
      </c>
      <c r="D65" s="9">
        <v>30000</v>
      </c>
      <c r="E65" s="7" t="s">
        <v>362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8" customFormat="1" x14ac:dyDescent="0.25">
      <c r="A66" s="8">
        <v>46294</v>
      </c>
      <c r="B66" s="7" t="s">
        <v>243</v>
      </c>
      <c r="C66" s="7" t="s">
        <v>415</v>
      </c>
      <c r="D66" s="9">
        <v>40000</v>
      </c>
      <c r="E66" s="7" t="s">
        <v>362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8" customFormat="1" x14ac:dyDescent="0.25">
      <c r="A67" s="8">
        <v>46280</v>
      </c>
      <c r="B67" s="7" t="s">
        <v>243</v>
      </c>
      <c r="C67" s="11" t="s">
        <v>309</v>
      </c>
      <c r="D67" s="12">
        <v>10000</v>
      </c>
      <c r="E67" s="11" t="s">
        <v>412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8" customFormat="1" x14ac:dyDescent="0.25">
      <c r="A68" s="8">
        <v>46281</v>
      </c>
      <c r="B68" s="7" t="s">
        <v>243</v>
      </c>
      <c r="C68" s="7" t="s">
        <v>309</v>
      </c>
      <c r="D68" s="9">
        <v>10000</v>
      </c>
      <c r="E68" s="7" t="s">
        <v>412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8" customFormat="1" x14ac:dyDescent="0.25">
      <c r="A69" s="8">
        <v>46296</v>
      </c>
      <c r="B69" s="7" t="s">
        <v>263</v>
      </c>
      <c r="C69" s="7" t="s">
        <v>421</v>
      </c>
      <c r="D69" s="9">
        <v>40000</v>
      </c>
      <c r="E69" s="7" t="s">
        <v>423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8" customFormat="1" x14ac:dyDescent="0.25">
      <c r="A70" s="10">
        <v>46271</v>
      </c>
      <c r="B70" s="11" t="s">
        <v>243</v>
      </c>
      <c r="C70" s="11" t="s">
        <v>269</v>
      </c>
      <c r="D70" s="12">
        <v>20000</v>
      </c>
      <c r="E70" s="11" t="s">
        <v>276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8" customFormat="1" x14ac:dyDescent="0.25">
      <c r="A71" s="8">
        <v>46278</v>
      </c>
      <c r="B71" s="7" t="s">
        <v>243</v>
      </c>
      <c r="C71" s="7" t="s">
        <v>269</v>
      </c>
      <c r="D71" s="9">
        <v>9640</v>
      </c>
      <c r="E71" s="7" t="s">
        <v>276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8" customFormat="1" x14ac:dyDescent="0.25">
      <c r="A72" s="8">
        <v>46292</v>
      </c>
      <c r="B72" s="7" t="s">
        <v>243</v>
      </c>
      <c r="C72" s="7" t="s">
        <v>402</v>
      </c>
      <c r="D72" s="9">
        <v>50000</v>
      </c>
      <c r="E72" s="7" t="s">
        <v>406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8" customFormat="1" x14ac:dyDescent="0.25">
      <c r="A73" s="8">
        <v>46280</v>
      </c>
      <c r="B73" s="7" t="s">
        <v>243</v>
      </c>
      <c r="C73" s="7" t="s">
        <v>332</v>
      </c>
      <c r="D73" s="9">
        <v>65160</v>
      </c>
      <c r="E73" s="7" t="s">
        <v>333</v>
      </c>
      <c r="F73" s="1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8" customFormat="1" x14ac:dyDescent="0.25">
      <c r="A74" s="8">
        <v>46280</v>
      </c>
      <c r="B74" s="7" t="s">
        <v>243</v>
      </c>
      <c r="C74" s="7" t="s">
        <v>332</v>
      </c>
      <c r="D74" s="9">
        <v>35890</v>
      </c>
      <c r="E74" s="7" t="s">
        <v>334</v>
      </c>
      <c r="F74" s="1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8" customFormat="1" x14ac:dyDescent="0.25">
      <c r="A75" s="8">
        <v>46299</v>
      </c>
      <c r="B75" s="7" t="s">
        <v>263</v>
      </c>
      <c r="C75" s="7" t="s">
        <v>304</v>
      </c>
      <c r="D75" s="9">
        <v>30000</v>
      </c>
      <c r="E75" s="7" t="s">
        <v>431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8" customFormat="1" x14ac:dyDescent="0.25">
      <c r="A76" s="8">
        <v>46280</v>
      </c>
      <c r="B76" s="7" t="s">
        <v>243</v>
      </c>
      <c r="C76" s="7" t="s">
        <v>337</v>
      </c>
      <c r="D76" s="9">
        <v>50000</v>
      </c>
      <c r="E76" s="7" t="s">
        <v>340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8" customFormat="1" x14ac:dyDescent="0.25">
      <c r="A77" s="8">
        <v>46279</v>
      </c>
      <c r="B77" s="7" t="s">
        <v>243</v>
      </c>
      <c r="C77" s="7" t="s">
        <v>301</v>
      </c>
      <c r="D77" s="9">
        <v>116000</v>
      </c>
      <c r="E77" s="7" t="s">
        <v>356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8" customFormat="1" x14ac:dyDescent="0.25">
      <c r="A78" s="8">
        <v>46287</v>
      </c>
      <c r="B78" s="7" t="s">
        <v>243</v>
      </c>
      <c r="C78" s="7" t="s">
        <v>386</v>
      </c>
      <c r="D78" s="9">
        <v>22000</v>
      </c>
      <c r="E78" s="7" t="s">
        <v>395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8" customFormat="1" x14ac:dyDescent="0.25">
      <c r="A79" s="8">
        <v>46294</v>
      </c>
      <c r="B79" s="7" t="s">
        <v>243</v>
      </c>
      <c r="C79" s="7" t="s">
        <v>414</v>
      </c>
      <c r="D79" s="9">
        <v>65000</v>
      </c>
      <c r="E79" s="7" t="s">
        <v>395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8" customFormat="1" x14ac:dyDescent="0.25">
      <c r="A80" s="8">
        <v>46284</v>
      </c>
      <c r="B80" s="7" t="s">
        <v>243</v>
      </c>
      <c r="C80" s="7" t="s">
        <v>363</v>
      </c>
      <c r="D80" s="9">
        <v>50000</v>
      </c>
      <c r="E80" s="7" t="s">
        <v>375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8" customFormat="1" x14ac:dyDescent="0.25">
      <c r="A81" s="8">
        <v>46285</v>
      </c>
      <c r="B81" s="7" t="s">
        <v>243</v>
      </c>
      <c r="C81" s="7" t="s">
        <v>363</v>
      </c>
      <c r="D81" s="9">
        <v>50000</v>
      </c>
      <c r="E81" s="7" t="s">
        <v>375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8" customFormat="1" x14ac:dyDescent="0.25">
      <c r="A82" s="8">
        <v>46300</v>
      </c>
      <c r="B82" s="7" t="s">
        <v>243</v>
      </c>
      <c r="C82" s="7" t="s">
        <v>428</v>
      </c>
      <c r="D82" s="9">
        <v>50000</v>
      </c>
      <c r="E82" s="7" t="s">
        <v>436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8" customFormat="1" x14ac:dyDescent="0.25">
      <c r="A83" s="8">
        <v>46286</v>
      </c>
      <c r="B83" s="7" t="s">
        <v>243</v>
      </c>
      <c r="C83" s="7" t="s">
        <v>365</v>
      </c>
      <c r="D83" s="9">
        <v>90000</v>
      </c>
      <c r="E83" s="7" t="s">
        <v>400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8" customFormat="1" x14ac:dyDescent="0.25">
      <c r="A84" s="8">
        <v>46286</v>
      </c>
      <c r="B84" s="7" t="s">
        <v>243</v>
      </c>
      <c r="C84" s="7" t="s">
        <v>368</v>
      </c>
      <c r="D84" s="9">
        <v>50000</v>
      </c>
      <c r="E84" s="7" t="s">
        <v>374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8" customFormat="1" x14ac:dyDescent="0.25">
      <c r="A85" s="8">
        <v>46282</v>
      </c>
      <c r="B85" s="7" t="s">
        <v>243</v>
      </c>
      <c r="C85" s="7" t="s">
        <v>357</v>
      </c>
      <c r="D85" s="9">
        <v>40000</v>
      </c>
      <c r="E85" s="7" t="s">
        <v>425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8" customFormat="1" x14ac:dyDescent="0.25">
      <c r="A86" s="8">
        <v>46277</v>
      </c>
      <c r="B86" s="7" t="s">
        <v>243</v>
      </c>
      <c r="C86" s="7" t="s">
        <v>285</v>
      </c>
      <c r="D86" s="9">
        <v>95000</v>
      </c>
      <c r="E86" s="7" t="s">
        <v>286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8" customFormat="1" x14ac:dyDescent="0.25">
      <c r="A87" s="8">
        <v>46302</v>
      </c>
      <c r="B87" s="7" t="s">
        <v>243</v>
      </c>
      <c r="C87" s="7" t="s">
        <v>446</v>
      </c>
      <c r="D87" s="9">
        <v>49050</v>
      </c>
      <c r="E87" s="7" t="s">
        <v>453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8" customFormat="1" x14ac:dyDescent="0.25">
      <c r="A88" s="8">
        <v>46293</v>
      </c>
      <c r="B88" s="7" t="s">
        <v>243</v>
      </c>
      <c r="C88" s="7" t="s">
        <v>404</v>
      </c>
      <c r="D88" s="9">
        <v>80000</v>
      </c>
      <c r="E88" s="7" t="s">
        <v>408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8" customFormat="1" x14ac:dyDescent="0.25">
      <c r="A89" s="8">
        <v>46280</v>
      </c>
      <c r="B89" s="7" t="s">
        <v>243</v>
      </c>
      <c r="C89" s="7" t="s">
        <v>315</v>
      </c>
      <c r="D89" s="9">
        <v>27900</v>
      </c>
      <c r="E89" s="7" t="s">
        <v>317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8" customFormat="1" x14ac:dyDescent="0.25">
      <c r="A90" s="8">
        <v>46288</v>
      </c>
      <c r="B90" s="7" t="s">
        <v>243</v>
      </c>
      <c r="C90" s="7" t="s">
        <v>387</v>
      </c>
      <c r="D90" s="9">
        <v>40000</v>
      </c>
      <c r="E90" s="7" t="s">
        <v>413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8" customFormat="1" x14ac:dyDescent="0.25">
      <c r="A91" s="8">
        <v>46301</v>
      </c>
      <c r="B91" s="7" t="s">
        <v>243</v>
      </c>
      <c r="C91" s="7" t="s">
        <v>444</v>
      </c>
      <c r="D91" s="9">
        <v>42000</v>
      </c>
      <c r="E91" s="7" t="s">
        <v>413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8" customFormat="1" x14ac:dyDescent="0.25">
      <c r="A92" s="8">
        <v>46275</v>
      </c>
      <c r="B92" s="7" t="s">
        <v>243</v>
      </c>
      <c r="C92" s="7" t="s">
        <v>279</v>
      </c>
      <c r="D92" s="9">
        <v>24700</v>
      </c>
      <c r="E92" s="7" t="s">
        <v>280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8" customFormat="1" x14ac:dyDescent="0.25">
      <c r="A93" s="8">
        <v>46279</v>
      </c>
      <c r="B93" s="7" t="s">
        <v>243</v>
      </c>
      <c r="C93" s="7" t="s">
        <v>279</v>
      </c>
      <c r="D93" s="9">
        <v>20000</v>
      </c>
      <c r="E93" s="7" t="s">
        <v>280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8" customFormat="1" x14ac:dyDescent="0.25">
      <c r="A94" s="8">
        <v>46294</v>
      </c>
      <c r="B94" s="7" t="s">
        <v>243</v>
      </c>
      <c r="C94" s="7" t="s">
        <v>417</v>
      </c>
      <c r="D94" s="9">
        <v>140000</v>
      </c>
      <c r="E94" s="7" t="s">
        <v>419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8" customFormat="1" x14ac:dyDescent="0.25">
      <c r="A95" s="8">
        <v>46293</v>
      </c>
      <c r="B95" s="7" t="s">
        <v>243</v>
      </c>
      <c r="C95" s="7" t="s">
        <v>288</v>
      </c>
      <c r="D95" s="9">
        <v>30000</v>
      </c>
      <c r="E95" s="7" t="s">
        <v>407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8" customFormat="1" x14ac:dyDescent="0.25">
      <c r="A96" s="8">
        <v>46288</v>
      </c>
      <c r="B96" s="7" t="s">
        <v>243</v>
      </c>
      <c r="C96" s="7" t="s">
        <v>389</v>
      </c>
      <c r="D96" s="9">
        <v>124270</v>
      </c>
      <c r="E96" s="7" t="s">
        <v>390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8" customFormat="1" x14ac:dyDescent="0.25">
      <c r="A97" s="10">
        <v>46275</v>
      </c>
      <c r="B97" s="11" t="s">
        <v>243</v>
      </c>
      <c r="C97" s="11" t="s">
        <v>278</v>
      </c>
      <c r="D97" s="12">
        <v>33140</v>
      </c>
      <c r="E97" s="11" t="s">
        <v>277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8" customFormat="1" x14ac:dyDescent="0.25">
      <c r="A98" s="8">
        <v>46295</v>
      </c>
      <c r="B98" s="7" t="s">
        <v>243</v>
      </c>
      <c r="C98" s="7" t="s">
        <v>420</v>
      </c>
      <c r="D98" s="9">
        <v>45000</v>
      </c>
      <c r="E98" s="7" t="s">
        <v>422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8" customFormat="1" x14ac:dyDescent="0.25">
      <c r="A99" s="8">
        <v>46286</v>
      </c>
      <c r="B99" s="7" t="s">
        <v>243</v>
      </c>
      <c r="C99" s="7" t="s">
        <v>367</v>
      </c>
      <c r="D99" s="9">
        <v>80000</v>
      </c>
      <c r="E99" s="7" t="s">
        <v>393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8" customFormat="1" x14ac:dyDescent="0.25">
      <c r="A100" s="8">
        <v>46292</v>
      </c>
      <c r="B100" s="7" t="s">
        <v>243</v>
      </c>
      <c r="C100" s="7" t="s">
        <v>401</v>
      </c>
      <c r="D100" s="9">
        <v>30000</v>
      </c>
      <c r="E100" s="7" t="s">
        <v>405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s="8" customFormat="1" x14ac:dyDescent="0.25">
      <c r="A101" s="8">
        <v>46290</v>
      </c>
      <c r="B101" s="7" t="s">
        <v>263</v>
      </c>
      <c r="C101" s="7" t="s">
        <v>396</v>
      </c>
      <c r="D101" s="9">
        <v>54240</v>
      </c>
      <c r="E101" s="7" t="s">
        <v>397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s="8" customFormat="1" x14ac:dyDescent="0.25">
      <c r="A102" s="8">
        <v>46304</v>
      </c>
      <c r="B102" s="7" t="s">
        <v>263</v>
      </c>
      <c r="C102" s="7" t="s">
        <v>455</v>
      </c>
      <c r="D102" s="9">
        <v>50000</v>
      </c>
      <c r="E102" s="7" t="s">
        <v>459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8" customFormat="1" x14ac:dyDescent="0.25">
      <c r="A103" s="8">
        <v>46279</v>
      </c>
      <c r="B103" s="7" t="s">
        <v>243</v>
      </c>
      <c r="C103" s="7" t="s">
        <v>302</v>
      </c>
      <c r="D103" s="9">
        <v>36050</v>
      </c>
      <c r="E103" s="7" t="s">
        <v>410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8" customFormat="1" x14ac:dyDescent="0.25">
      <c r="A104" s="8">
        <v>46270</v>
      </c>
      <c r="B104" s="7" t="s">
        <v>263</v>
      </c>
      <c r="C104" s="7" t="s">
        <v>265</v>
      </c>
      <c r="D104" s="9">
        <v>50000</v>
      </c>
      <c r="E104" s="7" t="s">
        <v>266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s="8" customFormat="1" x14ac:dyDescent="0.25">
      <c r="A105" s="8">
        <v>46280</v>
      </c>
      <c r="B105" s="7" t="s">
        <v>243</v>
      </c>
      <c r="C105" s="7" t="s">
        <v>308</v>
      </c>
      <c r="D105" s="9">
        <v>100000</v>
      </c>
      <c r="E105" s="7" t="s">
        <v>322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s="8" customFormat="1" x14ac:dyDescent="0.25">
      <c r="A106" s="8">
        <v>46285</v>
      </c>
      <c r="B106" s="7" t="s">
        <v>243</v>
      </c>
      <c r="C106" s="7" t="s">
        <v>364</v>
      </c>
      <c r="D106" s="9">
        <v>50000</v>
      </c>
      <c r="E106" s="7" t="s">
        <v>376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s="8" customFormat="1" x14ac:dyDescent="0.25">
      <c r="A107" s="8">
        <v>46301</v>
      </c>
      <c r="B107" s="7" t="s">
        <v>243</v>
      </c>
      <c r="C107" s="7" t="s">
        <v>442</v>
      </c>
      <c r="D107" s="9">
        <v>20000</v>
      </c>
      <c r="E107" s="7" t="s">
        <v>376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s="8" customFormat="1" x14ac:dyDescent="0.25">
      <c r="A108" s="8">
        <v>46277</v>
      </c>
      <c r="B108" s="7" t="s">
        <v>243</v>
      </c>
      <c r="C108" s="7" t="s">
        <v>287</v>
      </c>
      <c r="D108" s="9">
        <v>10000</v>
      </c>
      <c r="E108" s="7" t="s">
        <v>290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s="8" customFormat="1" x14ac:dyDescent="0.25">
      <c r="A109" s="8">
        <v>46301</v>
      </c>
      <c r="B109" s="7" t="s">
        <v>243</v>
      </c>
      <c r="C109" s="7" t="s">
        <v>441</v>
      </c>
      <c r="D109" s="9">
        <v>40000</v>
      </c>
      <c r="E109" s="7" t="s">
        <v>290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s="8" customFormat="1" x14ac:dyDescent="0.25">
      <c r="A110" s="8">
        <v>46280</v>
      </c>
      <c r="B110" s="7" t="s">
        <v>243</v>
      </c>
      <c r="C110" s="7" t="s">
        <v>310</v>
      </c>
      <c r="D110" s="9">
        <v>44140</v>
      </c>
      <c r="E110" s="7" t="s">
        <v>341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s="8" customFormat="1" x14ac:dyDescent="0.25">
      <c r="A111" s="8">
        <v>46294</v>
      </c>
      <c r="B111" s="7" t="s">
        <v>243</v>
      </c>
      <c r="C111" s="7" t="s">
        <v>416</v>
      </c>
      <c r="D111" s="9">
        <v>40000</v>
      </c>
      <c r="E111" s="7" t="s">
        <v>418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s="8" customFormat="1" x14ac:dyDescent="0.25">
      <c r="A112" s="8">
        <v>46293</v>
      </c>
      <c r="B112" s="7" t="s">
        <v>243</v>
      </c>
      <c r="C112" s="7" t="s">
        <v>403</v>
      </c>
      <c r="D112" s="9">
        <v>50000</v>
      </c>
      <c r="E112" s="7" t="s">
        <v>409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s="8" customFormat="1" x14ac:dyDescent="0.25">
      <c r="A113" s="8">
        <v>46266</v>
      </c>
      <c r="B113" s="7" t="s">
        <v>243</v>
      </c>
      <c r="C113" s="7" t="s">
        <v>256</v>
      </c>
      <c r="D113" s="9">
        <v>50000</v>
      </c>
      <c r="E113" s="7" t="s">
        <v>257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s="8" customFormat="1" x14ac:dyDescent="0.25">
      <c r="A114" s="8">
        <v>46281</v>
      </c>
      <c r="B114" s="7" t="s">
        <v>243</v>
      </c>
      <c r="C114" s="7" t="s">
        <v>338</v>
      </c>
      <c r="D114" s="9">
        <v>20000</v>
      </c>
      <c r="E114" s="7" t="s">
        <v>339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s="8" customFormat="1" x14ac:dyDescent="0.25">
      <c r="A115" s="8">
        <v>46286</v>
      </c>
      <c r="B115" s="7" t="s">
        <v>243</v>
      </c>
      <c r="C115" s="7" t="s">
        <v>338</v>
      </c>
      <c r="D115" s="9">
        <v>10000</v>
      </c>
      <c r="E115" s="7" t="s">
        <v>339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s="8" customFormat="1" x14ac:dyDescent="0.25">
      <c r="A116" s="8">
        <v>46290</v>
      </c>
      <c r="B116" s="7" t="s">
        <v>243</v>
      </c>
      <c r="C116" s="7" t="s">
        <v>338</v>
      </c>
      <c r="D116" s="9">
        <v>16880</v>
      </c>
      <c r="E116" s="7" t="s">
        <v>339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s="8" customFormat="1" x14ac:dyDescent="0.25">
      <c r="A117" s="8">
        <v>46279</v>
      </c>
      <c r="B117" s="7" t="s">
        <v>263</v>
      </c>
      <c r="C117" s="7" t="s">
        <v>304</v>
      </c>
      <c r="D117" s="9">
        <v>20180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s="8" customFormat="1" x14ac:dyDescent="0.25">
      <c r="A118" s="8">
        <v>46304</v>
      </c>
      <c r="B118" s="7" t="s">
        <v>243</v>
      </c>
      <c r="C118" s="7" t="s">
        <v>288</v>
      </c>
      <c r="D118" s="9">
        <v>20200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s="8" customFormat="1" x14ac:dyDescent="0.25">
      <c r="A119" s="8">
        <v>46307</v>
      </c>
      <c r="B119" s="7" t="s">
        <v>243</v>
      </c>
      <c r="C119" s="7" t="s">
        <v>460</v>
      </c>
      <c r="D119" s="9">
        <v>113750</v>
      </c>
      <c r="E119" s="7" t="s">
        <v>461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s="8" customFormat="1" x14ac:dyDescent="0.25">
      <c r="B120" s="7"/>
      <c r="C120" s="7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s="8" customFormat="1" x14ac:dyDescent="0.25">
      <c r="B121" s="7"/>
      <c r="C121" s="7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s="8" customFormat="1" x14ac:dyDescent="0.25">
      <c r="B122" s="7"/>
      <c r="C122" s="7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s="8" customFormat="1" x14ac:dyDescent="0.25">
      <c r="B123" s="7"/>
      <c r="C123" s="7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s="8" customFormat="1" x14ac:dyDescent="0.25">
      <c r="B124" s="7"/>
      <c r="C124" s="7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s="8" customFormat="1" x14ac:dyDescent="0.25">
      <c r="B125" s="7"/>
      <c r="C125" s="7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s="8" customFormat="1" x14ac:dyDescent="0.25">
      <c r="B126" s="7"/>
      <c r="C126" s="7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s="8" customFormat="1" x14ac:dyDescent="0.25">
      <c r="B127" s="7"/>
      <c r="C127" s="7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s="8" customFormat="1" x14ac:dyDescent="0.25">
      <c r="B128" s="7"/>
      <c r="C128" s="7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s="8" customFormat="1" x14ac:dyDescent="0.25">
      <c r="B129" s="7"/>
      <c r="C129" s="7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s="8" customFormat="1" x14ac:dyDescent="0.25">
      <c r="B130" s="7"/>
      <c r="C130" s="7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s="8" customFormat="1" x14ac:dyDescent="0.25">
      <c r="B131" s="7"/>
      <c r="C131" s="7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s="8" customFormat="1" x14ac:dyDescent="0.25">
      <c r="B132" s="7"/>
      <c r="C132" s="7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s="8" customFormat="1" x14ac:dyDescent="0.25">
      <c r="B133" s="7"/>
      <c r="C133" s="7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s="8" customFormat="1" x14ac:dyDescent="0.25">
      <c r="B134" s="7"/>
      <c r="C134" s="7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s="8" customFormat="1" x14ac:dyDescent="0.25">
      <c r="B135" s="7"/>
      <c r="C135" s="7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s="8" customFormat="1" x14ac:dyDescent="0.25">
      <c r="B136" s="7"/>
      <c r="C136" s="7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s="8" customFormat="1" x14ac:dyDescent="0.25">
      <c r="B137" s="7"/>
      <c r="C137" s="7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s="8" customFormat="1" x14ac:dyDescent="0.25">
      <c r="B138" s="7"/>
      <c r="C138" s="7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s="8" customFormat="1" x14ac:dyDescent="0.25">
      <c r="B139" s="7"/>
      <c r="C139" s="7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s="8" customFormat="1" x14ac:dyDescent="0.25">
      <c r="B140" s="7"/>
      <c r="C140" s="7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s="8" customFormat="1" x14ac:dyDescent="0.25">
      <c r="B141" s="7"/>
      <c r="C141" s="7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s="8" customFormat="1" x14ac:dyDescent="0.25">
      <c r="B142" s="7"/>
      <c r="C142" s="7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s="8" customFormat="1" x14ac:dyDescent="0.25">
      <c r="B143" s="7"/>
      <c r="C143" s="7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s="8" customFormat="1" x14ac:dyDescent="0.25">
      <c r="B144" s="7"/>
      <c r="C144" s="7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s="8" customFormat="1" x14ac:dyDescent="0.25">
      <c r="B145" s="7"/>
      <c r="C145" s="7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s="8" customFormat="1" x14ac:dyDescent="0.25">
      <c r="B146" s="7"/>
      <c r="C146" s="7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s="8" customFormat="1" x14ac:dyDescent="0.25">
      <c r="B147" s="7"/>
      <c r="C147" s="7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s="8" customFormat="1" x14ac:dyDescent="0.25">
      <c r="B148" s="7"/>
      <c r="C148" s="7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s="8" customFormat="1" x14ac:dyDescent="0.25">
      <c r="B149" s="7"/>
      <c r="C149" s="7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s="8" customFormat="1" x14ac:dyDescent="0.25">
      <c r="B150" s="7"/>
      <c r="C150" s="7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s="8" customFormat="1" x14ac:dyDescent="0.25">
      <c r="B151" s="7"/>
      <c r="C151" s="7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s="8" customFormat="1" x14ac:dyDescent="0.25">
      <c r="B152" s="7"/>
      <c r="C152" s="7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s="8" customFormat="1" x14ac:dyDescent="0.25">
      <c r="B153" s="7"/>
      <c r="C153" s="7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s="8" customFormat="1" x14ac:dyDescent="0.25">
      <c r="B154" s="7"/>
      <c r="C154" s="7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s="8" customFormat="1" x14ac:dyDescent="0.25">
      <c r="B155" s="7"/>
      <c r="C155" s="7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s="8" customFormat="1" x14ac:dyDescent="0.25">
      <c r="B156" s="7"/>
      <c r="C156" s="7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s="8" customFormat="1" x14ac:dyDescent="0.25">
      <c r="B157" s="7"/>
      <c r="C157" s="7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s="8" customFormat="1" x14ac:dyDescent="0.25">
      <c r="B158" s="7"/>
      <c r="C158" s="7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s="8" customFormat="1" x14ac:dyDescent="0.25">
      <c r="B159" s="7"/>
      <c r="C159" s="7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s="8" customFormat="1" x14ac:dyDescent="0.25">
      <c r="B160" s="7"/>
      <c r="C160" s="7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s="8" customFormat="1" x14ac:dyDescent="0.25">
      <c r="B161" s="7"/>
      <c r="C161" s="7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s="8" customFormat="1" x14ac:dyDescent="0.25">
      <c r="B162" s="7"/>
      <c r="C162" s="7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s="8" customFormat="1" x14ac:dyDescent="0.25">
      <c r="B163" s="7"/>
      <c r="C163" s="7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s="8" customFormat="1" x14ac:dyDescent="0.25">
      <c r="B164" s="7"/>
      <c r="C164" s="7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s="8" customFormat="1" x14ac:dyDescent="0.25">
      <c r="B165" s="7"/>
      <c r="C165" s="7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s="8" customFormat="1" x14ac:dyDescent="0.25">
      <c r="B166" s="7"/>
      <c r="C166" s="7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s="8" customFormat="1" x14ac:dyDescent="0.25">
      <c r="B167" s="7"/>
      <c r="C167" s="7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s="8" customFormat="1" x14ac:dyDescent="0.25">
      <c r="B168" s="7"/>
      <c r="C168" s="7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s="8" customFormat="1" x14ac:dyDescent="0.25">
      <c r="B169" s="7"/>
      <c r="C169" s="7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s="8" customFormat="1" x14ac:dyDescent="0.25">
      <c r="B170" s="7"/>
      <c r="C170" s="7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s="8" customFormat="1" x14ac:dyDescent="0.25">
      <c r="B171" s="7"/>
      <c r="C171" s="7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s="8" customFormat="1" x14ac:dyDescent="0.25">
      <c r="B172" s="7"/>
      <c r="C172" s="7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s="8" customFormat="1" x14ac:dyDescent="0.25">
      <c r="B173" s="7"/>
      <c r="C173" s="7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s="8" customFormat="1" x14ac:dyDescent="0.25">
      <c r="B174" s="7"/>
      <c r="C174" s="7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s="8" customFormat="1" x14ac:dyDescent="0.25">
      <c r="B175" s="7"/>
      <c r="C175" s="7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s="8" customFormat="1" x14ac:dyDescent="0.25">
      <c r="B176" s="7"/>
      <c r="C176" s="7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s="8" customFormat="1" x14ac:dyDescent="0.25">
      <c r="B177" s="7"/>
      <c r="C177" s="7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s="8" customFormat="1" x14ac:dyDescent="0.25">
      <c r="B178" s="7"/>
      <c r="C178" s="7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s="8" customFormat="1" x14ac:dyDescent="0.25">
      <c r="B179" s="7"/>
      <c r="C179" s="7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s="8" customFormat="1" x14ac:dyDescent="0.25">
      <c r="B180" s="7"/>
      <c r="C180" s="7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s="8" customFormat="1" x14ac:dyDescent="0.25">
      <c r="B181" s="7"/>
      <c r="C181" s="7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s="8" customFormat="1" x14ac:dyDescent="0.25">
      <c r="B182" s="7"/>
      <c r="C182" s="7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s="8" customFormat="1" x14ac:dyDescent="0.25">
      <c r="B183" s="7"/>
      <c r="C183" s="7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s="8" customFormat="1" x14ac:dyDescent="0.25">
      <c r="B184" s="7"/>
      <c r="C184" s="7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s="8" customFormat="1" x14ac:dyDescent="0.25">
      <c r="B185" s="7"/>
      <c r="C185" s="7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s="8" customFormat="1" x14ac:dyDescent="0.25">
      <c r="B186" s="7"/>
      <c r="C186" s="7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s="8" customFormat="1" x14ac:dyDescent="0.25">
      <c r="B187" s="7"/>
      <c r="C187" s="7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s="8" customFormat="1" x14ac:dyDescent="0.25">
      <c r="B188" s="7"/>
      <c r="C188" s="7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s="8" customFormat="1" x14ac:dyDescent="0.25">
      <c r="B189" s="7"/>
      <c r="C189" s="7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s="8" customFormat="1" x14ac:dyDescent="0.25">
      <c r="B190" s="7"/>
      <c r="C190" s="7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s="8" customFormat="1" x14ac:dyDescent="0.25">
      <c r="B191" s="7"/>
      <c r="C191" s="7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s="8" customFormat="1" x14ac:dyDescent="0.25">
      <c r="B192" s="7"/>
      <c r="C192" s="7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s="8" customFormat="1" x14ac:dyDescent="0.25">
      <c r="B193" s="7"/>
      <c r="C193" s="7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s="8" customFormat="1" x14ac:dyDescent="0.25">
      <c r="B194" s="7"/>
      <c r="C194" s="7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s="8" customFormat="1" x14ac:dyDescent="0.25">
      <c r="B195" s="7"/>
      <c r="C195" s="7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s="8" customFormat="1" x14ac:dyDescent="0.25">
      <c r="B196" s="7"/>
      <c r="C196" s="7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s="8" customFormat="1" x14ac:dyDescent="0.25">
      <c r="B197" s="7"/>
      <c r="C197" s="7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s="8" customFormat="1" x14ac:dyDescent="0.25">
      <c r="B198" s="7"/>
      <c r="C198" s="7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s="8" customFormat="1" x14ac:dyDescent="0.25">
      <c r="B199" s="7"/>
      <c r="C199" s="7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s="8" customFormat="1" x14ac:dyDescent="0.25">
      <c r="B200" s="7"/>
      <c r="C200" s="7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s="8" customFormat="1" x14ac:dyDescent="0.25">
      <c r="B201" s="7"/>
      <c r="C201" s="7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s="8" customFormat="1" x14ac:dyDescent="0.25">
      <c r="B202" s="7"/>
      <c r="C202" s="7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s="8" customFormat="1" x14ac:dyDescent="0.25">
      <c r="B203" s="7"/>
      <c r="C203" s="7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s="8" customFormat="1" x14ac:dyDescent="0.25">
      <c r="B204" s="7"/>
      <c r="C204" s="7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s="8" customFormat="1" x14ac:dyDescent="0.25">
      <c r="B205" s="7"/>
      <c r="C205" s="7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s="8" customFormat="1" x14ac:dyDescent="0.25">
      <c r="B206" s="7"/>
      <c r="C206" s="7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s="8" customFormat="1" x14ac:dyDescent="0.25">
      <c r="B207" s="7"/>
      <c r="C207" s="7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s="8" customFormat="1" x14ac:dyDescent="0.25">
      <c r="B208" s="7"/>
      <c r="C208" s="7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s="8" customFormat="1" x14ac:dyDescent="0.25">
      <c r="B209" s="7"/>
      <c r="C209" s="7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s="8" customFormat="1" x14ac:dyDescent="0.25">
      <c r="B210" s="7"/>
      <c r="C210" s="7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s="8" customFormat="1" x14ac:dyDescent="0.25">
      <c r="B211" s="7"/>
      <c r="C211" s="7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s="8" customFormat="1" x14ac:dyDescent="0.25">
      <c r="B212" s="7"/>
      <c r="C212" s="7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s="8" customFormat="1" x14ac:dyDescent="0.25">
      <c r="B213" s="7"/>
      <c r="C213" s="7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s="8" customFormat="1" x14ac:dyDescent="0.25">
      <c r="B214" s="7"/>
      <c r="C214" s="7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s="8" customFormat="1" x14ac:dyDescent="0.25">
      <c r="B215" s="7"/>
      <c r="C215" s="7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s="8" customFormat="1" x14ac:dyDescent="0.25">
      <c r="B216" s="7"/>
      <c r="C216" s="7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s="8" customFormat="1" x14ac:dyDescent="0.25">
      <c r="B217" s="7"/>
      <c r="C217" s="7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s="8" customFormat="1" x14ac:dyDescent="0.25">
      <c r="B218" s="7"/>
      <c r="C218" s="7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s="8" customFormat="1" x14ac:dyDescent="0.25">
      <c r="B219" s="7"/>
      <c r="C219" s="7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s="8" customFormat="1" x14ac:dyDescent="0.25">
      <c r="B220" s="7"/>
      <c r="C220" s="7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s="8" customFormat="1" x14ac:dyDescent="0.25">
      <c r="B221" s="7"/>
      <c r="C221" s="7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s="8" customFormat="1" x14ac:dyDescent="0.25">
      <c r="B222" s="7"/>
      <c r="C222" s="7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s="8" customFormat="1" x14ac:dyDescent="0.25">
      <c r="B223" s="7"/>
      <c r="C223" s="7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s="8" customFormat="1" x14ac:dyDescent="0.25">
      <c r="B224" s="7"/>
      <c r="C224" s="7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s="8" customFormat="1" x14ac:dyDescent="0.25">
      <c r="B225" s="7"/>
      <c r="C225" s="7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s="8" customFormat="1" x14ac:dyDescent="0.25">
      <c r="B226" s="7"/>
      <c r="C226" s="7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s="8" customFormat="1" x14ac:dyDescent="0.25">
      <c r="B227" s="7"/>
      <c r="C227" s="7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s="8" customFormat="1" x14ac:dyDescent="0.25">
      <c r="B228" s="7"/>
      <c r="C228" s="7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s="8" customFormat="1" x14ac:dyDescent="0.25">
      <c r="B229" s="7"/>
      <c r="C229" s="7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s="8" customFormat="1" x14ac:dyDescent="0.25">
      <c r="B230" s="7"/>
      <c r="C230" s="7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s="8" customFormat="1" x14ac:dyDescent="0.25">
      <c r="B231" s="7"/>
      <c r="C231" s="7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s="8" customFormat="1" x14ac:dyDescent="0.25">
      <c r="B232" s="7"/>
      <c r="C232" s="7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s="8" customFormat="1" x14ac:dyDescent="0.25">
      <c r="B233" s="7"/>
      <c r="C233" s="7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s="8" customFormat="1" x14ac:dyDescent="0.25">
      <c r="B234" s="7"/>
      <c r="C234" s="7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s="8" customFormat="1" x14ac:dyDescent="0.25">
      <c r="B235" s="7"/>
      <c r="C235" s="7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s="8" customFormat="1" x14ac:dyDescent="0.25">
      <c r="B236" s="7"/>
      <c r="C236" s="7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s="8" customFormat="1" x14ac:dyDescent="0.25">
      <c r="B237" s="7"/>
      <c r="C237" s="7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s="8" customFormat="1" x14ac:dyDescent="0.25">
      <c r="B238" s="7"/>
      <c r="C238" s="7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s="8" customFormat="1" x14ac:dyDescent="0.25">
      <c r="B239" s="7"/>
      <c r="C239" s="7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s="8" customFormat="1" x14ac:dyDescent="0.25">
      <c r="B240" s="7"/>
      <c r="C240" s="7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s="8" customFormat="1" x14ac:dyDescent="0.25">
      <c r="B241" s="7"/>
      <c r="C241" s="7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s="8" customFormat="1" x14ac:dyDescent="0.25">
      <c r="B242" s="7"/>
      <c r="C242" s="7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s="8" customFormat="1" x14ac:dyDescent="0.25">
      <c r="B243" s="7"/>
      <c r="C243" s="7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s="8" customFormat="1" x14ac:dyDescent="0.25">
      <c r="B244" s="7"/>
      <c r="C244" s="7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s="8" customFormat="1" x14ac:dyDescent="0.25">
      <c r="B245" s="7"/>
      <c r="C245" s="7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s="8" customFormat="1" x14ac:dyDescent="0.25">
      <c r="B246" s="7"/>
      <c r="C246" s="7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s="8" customFormat="1" x14ac:dyDescent="0.25">
      <c r="B247" s="7"/>
      <c r="C247" s="7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s="8" customFormat="1" x14ac:dyDescent="0.25">
      <c r="B248" s="7"/>
      <c r="C248" s="7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s="8" customFormat="1" x14ac:dyDescent="0.25">
      <c r="B249" s="7"/>
      <c r="C249" s="7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s="8" customFormat="1" x14ac:dyDescent="0.25">
      <c r="B250" s="7"/>
      <c r="C250" s="7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s="8" customFormat="1" x14ac:dyDescent="0.25">
      <c r="B251" s="7"/>
      <c r="C251" s="7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s="8" customFormat="1" x14ac:dyDescent="0.25">
      <c r="B252" s="7"/>
      <c r="C252" s="7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s="8" customFormat="1" x14ac:dyDescent="0.25">
      <c r="B253" s="7"/>
      <c r="C253" s="7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s="8" customFormat="1" x14ac:dyDescent="0.25">
      <c r="B254" s="7"/>
      <c r="C254" s="7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s="8" customFormat="1" x14ac:dyDescent="0.25">
      <c r="B255" s="7"/>
      <c r="C255" s="7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s="8" customFormat="1" x14ac:dyDescent="0.25">
      <c r="B256" s="7"/>
      <c r="C256" s="7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s="8" customFormat="1" x14ac:dyDescent="0.25">
      <c r="B257" s="7"/>
      <c r="C257" s="7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s="8" customFormat="1" x14ac:dyDescent="0.25">
      <c r="B258" s="7"/>
      <c r="C258" s="7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s="8" customFormat="1" x14ac:dyDescent="0.25">
      <c r="B259" s="7"/>
      <c r="C259" s="7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s="8" customFormat="1" x14ac:dyDescent="0.25">
      <c r="B260" s="7"/>
      <c r="C260" s="7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s="8" customFormat="1" x14ac:dyDescent="0.25">
      <c r="B261" s="7"/>
      <c r="C261" s="7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s="8" customFormat="1" x14ac:dyDescent="0.25">
      <c r="B262" s="7"/>
      <c r="C262" s="7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s="8" customFormat="1" x14ac:dyDescent="0.25">
      <c r="B263" s="7"/>
      <c r="C263" s="7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s="8" customFormat="1" x14ac:dyDescent="0.25">
      <c r="B264" s="7"/>
      <c r="C264" s="7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s="8" customFormat="1" x14ac:dyDescent="0.25">
      <c r="B265" s="7"/>
      <c r="C265" s="7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s="8" customFormat="1" x14ac:dyDescent="0.25">
      <c r="B266" s="7"/>
      <c r="C266" s="7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s="8" customFormat="1" x14ac:dyDescent="0.25">
      <c r="B267" s="7"/>
      <c r="C267" s="7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s="8" customFormat="1" x14ac:dyDescent="0.25">
      <c r="B268" s="7"/>
      <c r="C268" s="7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s="8" customFormat="1" x14ac:dyDescent="0.25">
      <c r="B269" s="7"/>
      <c r="C269" s="7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s="8" customFormat="1" x14ac:dyDescent="0.25">
      <c r="B270" s="7"/>
      <c r="C270" s="7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s="8" customFormat="1" x14ac:dyDescent="0.25">
      <c r="B271" s="7"/>
      <c r="C271" s="7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s="8" customFormat="1" x14ac:dyDescent="0.25">
      <c r="B272" s="7"/>
      <c r="C272" s="7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s="8" customFormat="1" x14ac:dyDescent="0.25">
      <c r="B273" s="7"/>
      <c r="C273" s="7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s="8" customFormat="1" x14ac:dyDescent="0.25">
      <c r="B274" s="7"/>
      <c r="C274" s="7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s="8" customFormat="1" x14ac:dyDescent="0.25">
      <c r="B275" s="7"/>
      <c r="C275" s="7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s="8" customFormat="1" x14ac:dyDescent="0.25">
      <c r="B276" s="7"/>
      <c r="C276" s="7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s="8" customFormat="1" x14ac:dyDescent="0.25">
      <c r="B277" s="7"/>
      <c r="C277" s="7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s="8" customFormat="1" x14ac:dyDescent="0.25">
      <c r="B278" s="7"/>
      <c r="C278" s="7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s="8" customFormat="1" x14ac:dyDescent="0.25">
      <c r="B279" s="7"/>
      <c r="C279" s="7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s="8" customFormat="1" x14ac:dyDescent="0.25">
      <c r="B280" s="7"/>
      <c r="C280" s="7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s="8" customFormat="1" x14ac:dyDescent="0.25">
      <c r="B281" s="7"/>
      <c r="C281" s="7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s="8" customFormat="1" x14ac:dyDescent="0.25">
      <c r="B282" s="7"/>
      <c r="C282" s="7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s="8" customFormat="1" x14ac:dyDescent="0.25">
      <c r="B283" s="7"/>
      <c r="C283" s="7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s="8" customFormat="1" x14ac:dyDescent="0.25">
      <c r="B284" s="7"/>
      <c r="C284" s="7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s="8" customFormat="1" x14ac:dyDescent="0.25">
      <c r="B285" s="7"/>
      <c r="C285" s="7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s="8" customFormat="1" x14ac:dyDescent="0.25">
      <c r="B286" s="7"/>
      <c r="C286" s="7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s="8" customFormat="1" x14ac:dyDescent="0.25">
      <c r="B287" s="7"/>
      <c r="C287" s="7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s="8" customFormat="1" x14ac:dyDescent="0.25">
      <c r="B288" s="7"/>
      <c r="C288" s="7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s="8" customFormat="1" x14ac:dyDescent="0.25">
      <c r="B289" s="7"/>
      <c r="C289" s="7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s="8" customFormat="1" x14ac:dyDescent="0.25">
      <c r="B290" s="7"/>
      <c r="C290" s="7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s="8" customFormat="1" x14ac:dyDescent="0.25">
      <c r="B291" s="7"/>
      <c r="C291" s="7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s="8" customFormat="1" x14ac:dyDescent="0.25">
      <c r="B292" s="7"/>
      <c r="C292" s="7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s="8" customFormat="1" x14ac:dyDescent="0.25">
      <c r="B293" s="7"/>
      <c r="C293" s="7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s="8" customFormat="1" x14ac:dyDescent="0.25">
      <c r="B294" s="7"/>
      <c r="C294" s="7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s="8" customFormat="1" x14ac:dyDescent="0.25">
      <c r="B295" s="7"/>
      <c r="C295" s="7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s="8" customFormat="1" x14ac:dyDescent="0.25">
      <c r="B296" s="7"/>
      <c r="C296" s="7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s="8" customFormat="1" x14ac:dyDescent="0.25">
      <c r="B297" s="7"/>
      <c r="C297" s="7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s="8" customFormat="1" x14ac:dyDescent="0.25">
      <c r="B298" s="7"/>
      <c r="C298" s="7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s="8" customFormat="1" x14ac:dyDescent="0.25">
      <c r="B299" s="7"/>
      <c r="C299" s="7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s="8" customFormat="1" x14ac:dyDescent="0.25">
      <c r="B300" s="7"/>
      <c r="C300" s="7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s="8" customFormat="1" x14ac:dyDescent="0.25">
      <c r="B301" s="7"/>
      <c r="C301" s="7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s="8" customFormat="1" x14ac:dyDescent="0.25">
      <c r="B302" s="7"/>
      <c r="C302" s="7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s="8" customFormat="1" x14ac:dyDescent="0.25">
      <c r="B303" s="7"/>
      <c r="C303" s="7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s="8" customFormat="1" x14ac:dyDescent="0.25">
      <c r="B304" s="7"/>
      <c r="C304" s="7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s="8" customFormat="1" x14ac:dyDescent="0.25">
      <c r="B305" s="7"/>
      <c r="C305" s="7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s="8" customFormat="1" x14ac:dyDescent="0.25">
      <c r="B306" s="7"/>
      <c r="C306" s="7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s="8" customFormat="1" x14ac:dyDescent="0.25">
      <c r="B307" s="7"/>
      <c r="C307" s="7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s="8" customFormat="1" x14ac:dyDescent="0.25">
      <c r="B308" s="7"/>
      <c r="C308" s="7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s="8" customFormat="1" x14ac:dyDescent="0.25">
      <c r="B309" s="7"/>
      <c r="C309" s="7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s="8" customFormat="1" x14ac:dyDescent="0.25">
      <c r="B310" s="7"/>
      <c r="C310" s="7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s="8" customFormat="1" x14ac:dyDescent="0.25">
      <c r="B311" s="7"/>
      <c r="C311" s="7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s="8" customFormat="1" x14ac:dyDescent="0.25">
      <c r="B312" s="7"/>
      <c r="C312" s="7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s="8" customFormat="1" x14ac:dyDescent="0.25">
      <c r="B313" s="7"/>
      <c r="C313" s="7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s="8" customFormat="1" x14ac:dyDescent="0.25">
      <c r="B314" s="7"/>
      <c r="C314" s="7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s="8" customFormat="1" x14ac:dyDescent="0.25">
      <c r="B315" s="7"/>
      <c r="C315" s="7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s="8" customFormat="1" x14ac:dyDescent="0.25">
      <c r="B316" s="7"/>
      <c r="C316" s="7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s="8" customFormat="1" x14ac:dyDescent="0.25">
      <c r="B317" s="7"/>
      <c r="C317" s="7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s="8" customFormat="1" x14ac:dyDescent="0.25">
      <c r="B318" s="7"/>
      <c r="C318" s="7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s="8" customFormat="1" x14ac:dyDescent="0.25">
      <c r="B319" s="7"/>
      <c r="C319" s="7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s="8" customFormat="1" x14ac:dyDescent="0.25">
      <c r="B320" s="7"/>
      <c r="C320" s="7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s="8" customFormat="1" x14ac:dyDescent="0.25">
      <c r="B321" s="7"/>
      <c r="C321" s="7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s="8" customFormat="1" x14ac:dyDescent="0.25">
      <c r="B322" s="7"/>
      <c r="C322" s="7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s="8" customFormat="1" x14ac:dyDescent="0.25">
      <c r="B323" s="7"/>
      <c r="C323" s="7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s="8" customFormat="1" x14ac:dyDescent="0.25">
      <c r="B324" s="7"/>
      <c r="C324" s="7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s="8" customFormat="1" x14ac:dyDescent="0.25">
      <c r="B325" s="7"/>
      <c r="C325" s="7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s="8" customFormat="1" x14ac:dyDescent="0.25">
      <c r="B326" s="7"/>
      <c r="C326" s="7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s="8" customFormat="1" x14ac:dyDescent="0.25">
      <c r="B327" s="7"/>
      <c r="C327" s="7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s="8" customFormat="1" x14ac:dyDescent="0.25">
      <c r="B328" s="7"/>
      <c r="C328" s="7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s="8" customFormat="1" x14ac:dyDescent="0.25">
      <c r="B329" s="7"/>
      <c r="C329" s="7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s="8" customFormat="1" x14ac:dyDescent="0.25">
      <c r="B330" s="7"/>
      <c r="C330" s="7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s="8" customFormat="1" x14ac:dyDescent="0.25">
      <c r="B331" s="7"/>
      <c r="C331" s="7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s="8" customFormat="1" x14ac:dyDescent="0.25">
      <c r="B332" s="7"/>
      <c r="C332" s="7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s="8" customFormat="1" x14ac:dyDescent="0.25">
      <c r="B333" s="7"/>
      <c r="C333" s="7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s="8" customFormat="1" x14ac:dyDescent="0.25">
      <c r="B334" s="7"/>
      <c r="C334" s="7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s="8" customFormat="1" x14ac:dyDescent="0.25">
      <c r="B335" s="7"/>
      <c r="C335" s="7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s="8" customFormat="1" x14ac:dyDescent="0.25">
      <c r="B336" s="7"/>
      <c r="C336" s="7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s="8" customFormat="1" x14ac:dyDescent="0.25">
      <c r="B337" s="7"/>
      <c r="C337" s="7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s="8" customFormat="1" x14ac:dyDescent="0.25">
      <c r="B338" s="7"/>
      <c r="C338" s="7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s="8" customFormat="1" x14ac:dyDescent="0.25">
      <c r="B339" s="7"/>
      <c r="C339" s="7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s="8" customFormat="1" x14ac:dyDescent="0.25">
      <c r="B340" s="7"/>
      <c r="C340" s="7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s="8" customFormat="1" x14ac:dyDescent="0.25">
      <c r="B341" s="7"/>
      <c r="C341" s="7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s="8" customFormat="1" x14ac:dyDescent="0.25">
      <c r="B342" s="7"/>
      <c r="C342" s="7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s="8" customFormat="1" x14ac:dyDescent="0.25">
      <c r="B343" s="7"/>
      <c r="C343" s="7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s="8" customFormat="1" x14ac:dyDescent="0.25">
      <c r="B344" s="7"/>
      <c r="C344" s="7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s="8" customFormat="1" x14ac:dyDescent="0.25">
      <c r="B345" s="7"/>
      <c r="C345" s="7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s="8" customFormat="1" x14ac:dyDescent="0.25">
      <c r="B346" s="7"/>
      <c r="C346" s="7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s="8" customFormat="1" x14ac:dyDescent="0.25">
      <c r="B347" s="7"/>
      <c r="C347" s="7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s="8" customFormat="1" x14ac:dyDescent="0.25">
      <c r="B348" s="7"/>
      <c r="C348" s="7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s="8" customFormat="1" x14ac:dyDescent="0.25">
      <c r="B349" s="7"/>
      <c r="C349" s="7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s="8" customFormat="1" x14ac:dyDescent="0.25">
      <c r="B350" s="7"/>
      <c r="C350" s="7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s="8" customFormat="1" x14ac:dyDescent="0.25">
      <c r="B351" s="7"/>
      <c r="C351" s="7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s="8" customFormat="1" x14ac:dyDescent="0.25">
      <c r="B352" s="7"/>
      <c r="C352" s="7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s="8" customFormat="1" x14ac:dyDescent="0.25">
      <c r="B353" s="7"/>
      <c r="C353" s="7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s="8" customFormat="1" x14ac:dyDescent="0.25">
      <c r="B354" s="7"/>
      <c r="C354" s="7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s="8" customFormat="1" x14ac:dyDescent="0.25">
      <c r="B355" s="7"/>
      <c r="C355" s="7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s="8" customFormat="1" x14ac:dyDescent="0.25">
      <c r="B356" s="7"/>
      <c r="C356" s="7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s="8" customFormat="1" x14ac:dyDescent="0.25">
      <c r="B357" s="7"/>
      <c r="C357" s="7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s="8" customFormat="1" x14ac:dyDescent="0.25">
      <c r="B358" s="7"/>
      <c r="C358" s="7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s="8" customFormat="1" x14ac:dyDescent="0.25">
      <c r="B359" s="7"/>
      <c r="C359" s="7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s="8" customFormat="1" x14ac:dyDescent="0.25">
      <c r="B360" s="7"/>
      <c r="C360" s="7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s="8" customFormat="1" x14ac:dyDescent="0.25">
      <c r="B361" s="7"/>
      <c r="C361" s="7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s="8" customFormat="1" x14ac:dyDescent="0.25">
      <c r="B362" s="7"/>
      <c r="C362" s="7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s="8" customFormat="1" x14ac:dyDescent="0.25">
      <c r="B363" s="7"/>
      <c r="C363" s="7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s="8" customFormat="1" x14ac:dyDescent="0.25">
      <c r="B364" s="7"/>
      <c r="C364" s="7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s="8" customFormat="1" x14ac:dyDescent="0.25">
      <c r="B365" s="7"/>
      <c r="C365" s="7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s="8" customFormat="1" x14ac:dyDescent="0.25">
      <c r="B366" s="7"/>
      <c r="C366" s="7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s="8" customFormat="1" x14ac:dyDescent="0.25">
      <c r="B367" s="7"/>
      <c r="C367" s="7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s="8" customFormat="1" x14ac:dyDescent="0.25">
      <c r="B368" s="7"/>
      <c r="C368" s="7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s="8" customFormat="1" x14ac:dyDescent="0.25">
      <c r="B369" s="7"/>
      <c r="C369" s="7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s="8" customFormat="1" x14ac:dyDescent="0.25">
      <c r="B370" s="7"/>
      <c r="C370" s="7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s="8" customFormat="1" x14ac:dyDescent="0.25">
      <c r="B371" s="7"/>
      <c r="C371" s="7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s="8" customFormat="1" x14ac:dyDescent="0.25">
      <c r="B372" s="7"/>
      <c r="C372" s="7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s="8" customFormat="1" x14ac:dyDescent="0.25">
      <c r="B373" s="7"/>
      <c r="C373" s="7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s="8" customFormat="1" x14ac:dyDescent="0.25">
      <c r="B374" s="7"/>
      <c r="C374" s="7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s="8" customFormat="1" x14ac:dyDescent="0.25">
      <c r="B375" s="7"/>
      <c r="C375" s="7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s="8" customFormat="1" x14ac:dyDescent="0.25">
      <c r="B376" s="7"/>
      <c r="C376" s="7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s="8" customFormat="1" x14ac:dyDescent="0.25">
      <c r="B377" s="7"/>
      <c r="C377" s="7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s="8" customFormat="1" x14ac:dyDescent="0.25">
      <c r="B378" s="7"/>
      <c r="C378" s="7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s="8" customFormat="1" x14ac:dyDescent="0.25">
      <c r="B379" s="7"/>
      <c r="C379" s="7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s="8" customFormat="1" x14ac:dyDescent="0.25">
      <c r="B380" s="7"/>
      <c r="C380" s="7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s="8" customFormat="1" x14ac:dyDescent="0.25">
      <c r="B381" s="7"/>
      <c r="C381" s="7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s="8" customFormat="1" x14ac:dyDescent="0.25">
      <c r="B382" s="7"/>
      <c r="C382" s="7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s="8" customFormat="1" x14ac:dyDescent="0.25">
      <c r="B383" s="7"/>
      <c r="C383" s="7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s="8" customFormat="1" x14ac:dyDescent="0.25">
      <c r="B384" s="7"/>
      <c r="C384" s="7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s="8" customFormat="1" x14ac:dyDescent="0.25">
      <c r="B385" s="7"/>
      <c r="C385" s="7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s="8" customFormat="1" x14ac:dyDescent="0.25">
      <c r="B386" s="7"/>
      <c r="C386" s="7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s="8" customFormat="1" x14ac:dyDescent="0.25">
      <c r="B387" s="7"/>
      <c r="C387" s="7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s="8" customFormat="1" x14ac:dyDescent="0.25">
      <c r="B388" s="7"/>
      <c r="C388" s="7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s="8" customFormat="1" x14ac:dyDescent="0.25">
      <c r="B389" s="7"/>
      <c r="C389" s="7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s="8" customFormat="1" x14ac:dyDescent="0.25">
      <c r="B390" s="7"/>
      <c r="C390" s="7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s="8" customFormat="1" x14ac:dyDescent="0.25">
      <c r="B391" s="7"/>
      <c r="C391" s="7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s="8" customFormat="1" x14ac:dyDescent="0.25">
      <c r="B392" s="7"/>
      <c r="C392" s="7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s="8" customFormat="1" x14ac:dyDescent="0.25">
      <c r="B393" s="7"/>
      <c r="C393" s="7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s="8" customFormat="1" x14ac:dyDescent="0.25">
      <c r="B394" s="7"/>
      <c r="C394" s="7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s="8" customFormat="1" x14ac:dyDescent="0.25">
      <c r="B395" s="7"/>
      <c r="C395" s="7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s="8" customFormat="1" x14ac:dyDescent="0.25">
      <c r="B396" s="7"/>
      <c r="C396" s="7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s="8" customFormat="1" x14ac:dyDescent="0.25">
      <c r="B397" s="7"/>
      <c r="C397" s="7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s="8" customFormat="1" x14ac:dyDescent="0.25">
      <c r="B398" s="7"/>
      <c r="C398" s="7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s="8" customFormat="1" x14ac:dyDescent="0.25">
      <c r="B399" s="7"/>
      <c r="C399" s="7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s="8" customFormat="1" x14ac:dyDescent="0.25">
      <c r="B400" s="7"/>
      <c r="C400" s="7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s="8" customFormat="1" x14ac:dyDescent="0.25">
      <c r="B401" s="7"/>
      <c r="C401" s="7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s="8" customFormat="1" x14ac:dyDescent="0.25">
      <c r="B402" s="7"/>
      <c r="C402" s="7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s="8" customFormat="1" x14ac:dyDescent="0.25">
      <c r="B403" s="7"/>
      <c r="C403" s="7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s="8" customFormat="1" x14ac:dyDescent="0.25">
      <c r="B404" s="7"/>
      <c r="C404" s="7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s="8" customFormat="1" x14ac:dyDescent="0.25">
      <c r="B405" s="7"/>
      <c r="C405" s="7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s="8" customFormat="1" x14ac:dyDescent="0.25">
      <c r="B406" s="7"/>
      <c r="C406" s="7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s="8" customFormat="1" x14ac:dyDescent="0.25">
      <c r="B407" s="7"/>
      <c r="C407" s="7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s="8" customFormat="1" x14ac:dyDescent="0.25">
      <c r="B408" s="7"/>
      <c r="C408" s="7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s="8" customFormat="1" x14ac:dyDescent="0.25">
      <c r="B409" s="7"/>
      <c r="C409" s="7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s="8" customFormat="1" x14ac:dyDescent="0.25">
      <c r="B410" s="7"/>
      <c r="C410" s="7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s="8" customFormat="1" x14ac:dyDescent="0.25">
      <c r="B411" s="7"/>
      <c r="C411" s="7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s="8" customFormat="1" x14ac:dyDescent="0.25">
      <c r="B412" s="7"/>
      <c r="C412" s="7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s="8" customFormat="1" x14ac:dyDescent="0.25">
      <c r="B413" s="7"/>
      <c r="C413" s="7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s="8" customFormat="1" x14ac:dyDescent="0.25">
      <c r="B414" s="7"/>
      <c r="C414" s="7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s="8" customFormat="1" x14ac:dyDescent="0.25">
      <c r="B415" s="7"/>
      <c r="C415" s="7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s="8" customFormat="1" x14ac:dyDescent="0.25">
      <c r="B416" s="7"/>
      <c r="C416" s="7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s="8" customFormat="1" x14ac:dyDescent="0.25">
      <c r="B417" s="7"/>
      <c r="C417" s="7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s="8" customFormat="1" x14ac:dyDescent="0.25">
      <c r="B418" s="7"/>
      <c r="C418" s="7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s="8" customFormat="1" x14ac:dyDescent="0.25">
      <c r="B419" s="7"/>
      <c r="C419" s="7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s="8" customFormat="1" x14ac:dyDescent="0.25">
      <c r="B420" s="7"/>
      <c r="C420" s="7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s="8" customFormat="1" x14ac:dyDescent="0.25">
      <c r="B421" s="7"/>
      <c r="C421" s="7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s="8" customFormat="1" x14ac:dyDescent="0.25">
      <c r="B422" s="7"/>
      <c r="C422" s="7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s="8" customFormat="1" x14ac:dyDescent="0.25">
      <c r="B423" s="7"/>
      <c r="C423" s="7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s="8" customFormat="1" x14ac:dyDescent="0.25">
      <c r="B424" s="7"/>
      <c r="C424" s="7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s="8" customFormat="1" x14ac:dyDescent="0.25">
      <c r="B425" s="7"/>
      <c r="C425" s="7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s="8" customFormat="1" x14ac:dyDescent="0.25">
      <c r="B426" s="7"/>
      <c r="C426" s="7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s="8" customFormat="1" x14ac:dyDescent="0.25">
      <c r="B427" s="7"/>
      <c r="C427" s="7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s="8" customFormat="1" x14ac:dyDescent="0.25">
      <c r="B428" s="7"/>
      <c r="C428" s="7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s="8" customFormat="1" x14ac:dyDescent="0.25">
      <c r="B429" s="7"/>
      <c r="C429" s="7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s="8" customFormat="1" x14ac:dyDescent="0.25">
      <c r="B430" s="7"/>
      <c r="C430" s="7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s="8" customFormat="1" x14ac:dyDescent="0.25">
      <c r="B431" s="7"/>
      <c r="C431" s="7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2:24" s="8" customFormat="1" x14ac:dyDescent="0.25">
      <c r="B432" s="7"/>
      <c r="C432" s="7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2:24" s="8" customFormat="1" x14ac:dyDescent="0.25">
      <c r="B433" s="7"/>
      <c r="C433" s="7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2:24" s="8" customFormat="1" x14ac:dyDescent="0.25">
      <c r="B434" s="7"/>
      <c r="C434" s="7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2:24" s="8" customFormat="1" x14ac:dyDescent="0.25">
      <c r="B435" s="7"/>
      <c r="C435" s="7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2:24" s="8" customFormat="1" x14ac:dyDescent="0.25">
      <c r="B436" s="7"/>
      <c r="C436" s="7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2:24" s="8" customFormat="1" x14ac:dyDescent="0.25">
      <c r="B437" s="7"/>
      <c r="C437" s="7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2:24" s="8" customFormat="1" x14ac:dyDescent="0.25">
      <c r="B438" s="7"/>
      <c r="C438" s="7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2:24" s="8" customFormat="1" x14ac:dyDescent="0.25">
      <c r="B439" s="7"/>
      <c r="C439" s="7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2:24" s="8" customFormat="1" x14ac:dyDescent="0.25">
      <c r="B440" s="7"/>
      <c r="C440" s="7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2:24" s="8" customFormat="1" x14ac:dyDescent="0.25">
      <c r="B441" s="7"/>
      <c r="C441" s="7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2:24" s="8" customFormat="1" x14ac:dyDescent="0.25">
      <c r="B442" s="7"/>
      <c r="C442" s="7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2:24" s="8" customFormat="1" x14ac:dyDescent="0.25">
      <c r="B443" s="7"/>
      <c r="C443" s="7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2:24" s="8" customFormat="1" x14ac:dyDescent="0.25">
      <c r="B444" s="7"/>
      <c r="C444" s="7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2:24" s="8" customFormat="1" x14ac:dyDescent="0.25">
      <c r="B445" s="7"/>
      <c r="C445" s="7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2:24" s="8" customFormat="1" x14ac:dyDescent="0.25">
      <c r="B446" s="7"/>
      <c r="C446" s="7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2:24" s="8" customFormat="1" x14ac:dyDescent="0.25">
      <c r="B447" s="7"/>
      <c r="C447" s="7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2:24" s="8" customFormat="1" x14ac:dyDescent="0.25">
      <c r="B448" s="7"/>
      <c r="C448" s="7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2:24" s="8" customFormat="1" x14ac:dyDescent="0.25">
      <c r="B449" s="7"/>
      <c r="C449" s="7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2:24" s="8" customFormat="1" x14ac:dyDescent="0.25">
      <c r="B450" s="7"/>
      <c r="C450" s="7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2:24" s="8" customFormat="1" x14ac:dyDescent="0.25">
      <c r="B451" s="7"/>
      <c r="C451" s="7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2:24" s="8" customFormat="1" x14ac:dyDescent="0.25">
      <c r="B452" s="7"/>
      <c r="C452" s="7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2:24" s="8" customFormat="1" x14ac:dyDescent="0.25">
      <c r="B453" s="7"/>
      <c r="C453" s="7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2:24" s="8" customFormat="1" x14ac:dyDescent="0.25">
      <c r="B454" s="7"/>
      <c r="C454" s="7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2:24" s="8" customFormat="1" x14ac:dyDescent="0.25">
      <c r="B455" s="7"/>
      <c r="C455" s="7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2:24" s="8" customFormat="1" x14ac:dyDescent="0.25">
      <c r="B456" s="7"/>
      <c r="C456" s="7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2:24" s="8" customFormat="1" x14ac:dyDescent="0.25">
      <c r="B457" s="7"/>
      <c r="C457" s="7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2:24" s="8" customFormat="1" x14ac:dyDescent="0.25">
      <c r="B458" s="7"/>
      <c r="C458" s="7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2:24" s="8" customFormat="1" x14ac:dyDescent="0.25">
      <c r="B459" s="7"/>
      <c r="C459" s="7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2:24" s="8" customFormat="1" x14ac:dyDescent="0.25">
      <c r="B460" s="7"/>
      <c r="C460" s="7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2:24" s="8" customFormat="1" x14ac:dyDescent="0.25">
      <c r="B461" s="7"/>
      <c r="C461" s="7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2:24" s="8" customFormat="1" x14ac:dyDescent="0.25">
      <c r="B462" s="7"/>
      <c r="C462" s="7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2:24" s="8" customFormat="1" x14ac:dyDescent="0.25">
      <c r="B463" s="7"/>
      <c r="C463" s="7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2:24" s="8" customFormat="1" x14ac:dyDescent="0.25">
      <c r="B464" s="7"/>
      <c r="C464" s="7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2:24" s="8" customFormat="1" x14ac:dyDescent="0.25">
      <c r="B465" s="7"/>
      <c r="C465" s="7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2:24" s="8" customFormat="1" x14ac:dyDescent="0.25">
      <c r="B466" s="7"/>
      <c r="C466" s="7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2:24" s="8" customFormat="1" x14ac:dyDescent="0.25">
      <c r="B467" s="7"/>
      <c r="C467" s="7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2:24" s="8" customFormat="1" x14ac:dyDescent="0.25">
      <c r="B468" s="7"/>
      <c r="C468" s="7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2:24" s="8" customFormat="1" x14ac:dyDescent="0.25">
      <c r="B469" s="7"/>
      <c r="C469" s="7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2:24" s="8" customFormat="1" x14ac:dyDescent="0.25">
      <c r="B470" s="7"/>
      <c r="C470" s="7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2:24" s="8" customFormat="1" x14ac:dyDescent="0.25">
      <c r="B471" s="7"/>
      <c r="C471" s="7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2:24" s="8" customFormat="1" x14ac:dyDescent="0.25">
      <c r="B472" s="7"/>
      <c r="C472" s="7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2:24" s="8" customFormat="1" x14ac:dyDescent="0.25">
      <c r="B473" s="7"/>
      <c r="C473" s="7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2:24" s="8" customFormat="1" x14ac:dyDescent="0.25">
      <c r="B474" s="7"/>
      <c r="C474" s="7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2:24" s="8" customFormat="1" x14ac:dyDescent="0.25">
      <c r="B475" s="7"/>
      <c r="C475" s="7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2:24" s="8" customFormat="1" x14ac:dyDescent="0.25">
      <c r="B476" s="7"/>
      <c r="C476" s="7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2:24" s="8" customFormat="1" x14ac:dyDescent="0.25">
      <c r="B477" s="7"/>
      <c r="C477" s="7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2:24" s="8" customFormat="1" x14ac:dyDescent="0.25">
      <c r="B478" s="7"/>
      <c r="C478" s="7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2:24" s="8" customFormat="1" x14ac:dyDescent="0.25">
      <c r="B479" s="7"/>
      <c r="C479" s="7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2:24" s="8" customFormat="1" x14ac:dyDescent="0.25">
      <c r="B480" s="7"/>
      <c r="C480" s="7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2:24" s="8" customFormat="1" x14ac:dyDescent="0.25">
      <c r="B481" s="7"/>
      <c r="C481" s="7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2:24" s="8" customFormat="1" x14ac:dyDescent="0.25">
      <c r="B482" s="7"/>
      <c r="C482" s="7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2:24" s="8" customFormat="1" x14ac:dyDescent="0.25">
      <c r="B483" s="7"/>
      <c r="C483" s="7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2:24" s="8" customFormat="1" x14ac:dyDescent="0.25">
      <c r="B484" s="7"/>
      <c r="C484" s="7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2:24" s="8" customFormat="1" x14ac:dyDescent="0.25">
      <c r="B485" s="7"/>
      <c r="C485" s="7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2:24" s="8" customFormat="1" x14ac:dyDescent="0.25">
      <c r="B486" s="7"/>
      <c r="C486" s="7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2:24" s="8" customFormat="1" x14ac:dyDescent="0.25">
      <c r="B487" s="7"/>
      <c r="C487" s="7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2:24" s="8" customFormat="1" x14ac:dyDescent="0.25">
      <c r="B488" s="7"/>
      <c r="C488" s="7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2:24" s="8" customFormat="1" x14ac:dyDescent="0.25">
      <c r="B489" s="7"/>
      <c r="C489" s="7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2:24" s="8" customFormat="1" x14ac:dyDescent="0.25">
      <c r="B490" s="7"/>
      <c r="C490" s="7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2:24" s="8" customFormat="1" x14ac:dyDescent="0.25">
      <c r="B491" s="7"/>
      <c r="C491" s="7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2:24" s="8" customFormat="1" x14ac:dyDescent="0.25">
      <c r="B492" s="7"/>
      <c r="C492" s="7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2:24" s="8" customFormat="1" x14ac:dyDescent="0.25">
      <c r="B493" s="7"/>
      <c r="C493" s="7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2:24" s="8" customFormat="1" x14ac:dyDescent="0.25">
      <c r="B494" s="7"/>
      <c r="C494" s="7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2:24" s="8" customFormat="1" x14ac:dyDescent="0.25">
      <c r="B495" s="7"/>
      <c r="C495" s="7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2:24" s="8" customFormat="1" x14ac:dyDescent="0.25">
      <c r="B496" s="7"/>
      <c r="C496" s="7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2:24" s="8" customFormat="1" x14ac:dyDescent="0.25">
      <c r="B497" s="7"/>
      <c r="C497" s="7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2:24" s="8" customFormat="1" x14ac:dyDescent="0.25">
      <c r="B498" s="7"/>
      <c r="C498" s="7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2:24" s="8" customFormat="1" x14ac:dyDescent="0.25">
      <c r="B499" s="7"/>
      <c r="C499" s="7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2:24" s="8" customFormat="1" x14ac:dyDescent="0.25">
      <c r="B500" s="7"/>
      <c r="C500" s="7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2:24" s="8" customFormat="1" x14ac:dyDescent="0.25">
      <c r="B501" s="7"/>
      <c r="C501" s="7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2:24" s="8" customFormat="1" x14ac:dyDescent="0.25">
      <c r="B502" s="7"/>
      <c r="C502" s="7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2:24" s="8" customFormat="1" x14ac:dyDescent="0.25">
      <c r="B503" s="7"/>
      <c r="C503" s="7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2:24" s="8" customFormat="1" x14ac:dyDescent="0.25">
      <c r="B504" s="7"/>
      <c r="C504" s="7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2:24" s="8" customFormat="1" x14ac:dyDescent="0.25">
      <c r="B505" s="7"/>
      <c r="C505" s="7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2:24" s="8" customFormat="1" x14ac:dyDescent="0.25">
      <c r="B506" s="7"/>
      <c r="C506" s="7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2:24" s="8" customFormat="1" x14ac:dyDescent="0.25">
      <c r="B507" s="7"/>
      <c r="C507" s="7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2:24" s="8" customFormat="1" x14ac:dyDescent="0.25">
      <c r="B508" s="7"/>
      <c r="C508" s="7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2:24" s="8" customFormat="1" x14ac:dyDescent="0.25">
      <c r="B509" s="7"/>
      <c r="C509" s="7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2:24" s="8" customFormat="1" x14ac:dyDescent="0.25">
      <c r="B510" s="7"/>
      <c r="C510" s="7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2:24" s="8" customFormat="1" x14ac:dyDescent="0.25">
      <c r="B511" s="7"/>
      <c r="C511" s="7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2:24" s="8" customFormat="1" x14ac:dyDescent="0.25">
      <c r="B512" s="7"/>
      <c r="C512" s="7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2:24" s="8" customFormat="1" x14ac:dyDescent="0.25">
      <c r="B513" s="7"/>
      <c r="C513" s="7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2:24" s="8" customFormat="1" x14ac:dyDescent="0.25">
      <c r="B514" s="7"/>
      <c r="C514" s="7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2:24" s="8" customFormat="1" x14ac:dyDescent="0.25">
      <c r="B515" s="7"/>
      <c r="C515" s="7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2:24" s="8" customFormat="1" x14ac:dyDescent="0.25">
      <c r="B516" s="7"/>
      <c r="C516" s="7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2:24" s="8" customFormat="1" x14ac:dyDescent="0.25">
      <c r="B517" s="7"/>
      <c r="C517" s="7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2:24" s="8" customFormat="1" x14ac:dyDescent="0.25">
      <c r="B518" s="7"/>
      <c r="C518" s="7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2:24" s="8" customFormat="1" x14ac:dyDescent="0.25">
      <c r="B519" s="7"/>
      <c r="C519" s="7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2:24" s="8" customFormat="1" x14ac:dyDescent="0.25">
      <c r="B520" s="7"/>
      <c r="C520" s="7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2:24" s="8" customFormat="1" x14ac:dyDescent="0.25">
      <c r="B521" s="7"/>
      <c r="C521" s="7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2:24" s="8" customFormat="1" x14ac:dyDescent="0.25">
      <c r="B522" s="7"/>
      <c r="C522" s="7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2:24" s="8" customFormat="1" x14ac:dyDescent="0.25">
      <c r="B523" s="7"/>
      <c r="C523" s="7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2:24" s="8" customFormat="1" x14ac:dyDescent="0.25">
      <c r="B524" s="7"/>
      <c r="C524" s="7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2:24" s="8" customFormat="1" x14ac:dyDescent="0.25">
      <c r="B525" s="7"/>
      <c r="C525" s="7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2:24" s="8" customFormat="1" x14ac:dyDescent="0.25">
      <c r="B526" s="7"/>
      <c r="C526" s="7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2:24" s="8" customFormat="1" x14ac:dyDescent="0.25">
      <c r="B527" s="7"/>
      <c r="C527" s="7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2:24" s="8" customFormat="1" x14ac:dyDescent="0.25">
      <c r="B528" s="7"/>
      <c r="C528" s="7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2:24" s="8" customFormat="1" x14ac:dyDescent="0.25">
      <c r="B529" s="7"/>
      <c r="C529" s="7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2:24" s="8" customFormat="1" x14ac:dyDescent="0.25">
      <c r="B530" s="7"/>
      <c r="C530" s="7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2:24" s="8" customFormat="1" x14ac:dyDescent="0.25">
      <c r="B531" s="7"/>
      <c r="C531" s="7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2:24" s="8" customFormat="1" x14ac:dyDescent="0.25">
      <c r="B532" s="7"/>
      <c r="C532" s="7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2:24" s="8" customFormat="1" x14ac:dyDescent="0.25">
      <c r="B533" s="7"/>
      <c r="C533" s="7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2:24" s="8" customFormat="1" x14ac:dyDescent="0.25">
      <c r="B534" s="7"/>
      <c r="C534" s="7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2:24" s="8" customFormat="1" x14ac:dyDescent="0.25">
      <c r="B535" s="7"/>
      <c r="C535" s="7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2:24" s="8" customFormat="1" x14ac:dyDescent="0.25">
      <c r="B536" s="7"/>
      <c r="C536" s="7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2:24" s="8" customFormat="1" x14ac:dyDescent="0.25">
      <c r="B537" s="7"/>
      <c r="C537" s="7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2:24" s="8" customFormat="1" x14ac:dyDescent="0.25">
      <c r="B538" s="7"/>
      <c r="C538" s="7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2:24" s="8" customFormat="1" x14ac:dyDescent="0.25">
      <c r="B539" s="7"/>
      <c r="C539" s="7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2:24" s="8" customFormat="1" x14ac:dyDescent="0.25">
      <c r="B540" s="7"/>
      <c r="C540" s="7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2:24" s="8" customFormat="1" x14ac:dyDescent="0.25">
      <c r="B541" s="7"/>
      <c r="C541" s="7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2:24" s="8" customFormat="1" x14ac:dyDescent="0.25">
      <c r="B542" s="7"/>
      <c r="C542" s="7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2:24" s="8" customFormat="1" x14ac:dyDescent="0.25">
      <c r="B543" s="7"/>
      <c r="C543" s="7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2:24" s="8" customFormat="1" x14ac:dyDescent="0.25">
      <c r="B544" s="7"/>
      <c r="C544" s="7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2:24" s="8" customFormat="1" x14ac:dyDescent="0.25">
      <c r="B545" s="7"/>
      <c r="C545" s="7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2:24" s="8" customFormat="1" x14ac:dyDescent="0.25">
      <c r="B546" s="7"/>
      <c r="C546" s="7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2:24" s="8" customFormat="1" x14ac:dyDescent="0.25">
      <c r="B547" s="7"/>
      <c r="C547" s="7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2:24" s="8" customFormat="1" x14ac:dyDescent="0.25">
      <c r="B548" s="7"/>
      <c r="C548" s="7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2:24" s="8" customFormat="1" x14ac:dyDescent="0.25">
      <c r="B549" s="7"/>
      <c r="C549" s="7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2:24" s="8" customFormat="1" x14ac:dyDescent="0.25">
      <c r="B550" s="7"/>
      <c r="C550" s="7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2:24" s="8" customFormat="1" x14ac:dyDescent="0.25">
      <c r="B551" s="7"/>
      <c r="C551" s="7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2:24" s="8" customFormat="1" x14ac:dyDescent="0.25">
      <c r="B552" s="7"/>
      <c r="C552" s="7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2:24" s="8" customFormat="1" x14ac:dyDescent="0.25">
      <c r="B553" s="7"/>
      <c r="C553" s="7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2:24" s="8" customFormat="1" x14ac:dyDescent="0.25">
      <c r="B554" s="7"/>
      <c r="C554" s="7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2:24" s="8" customFormat="1" x14ac:dyDescent="0.25">
      <c r="B555" s="7"/>
      <c r="C555" s="7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2:24" s="8" customFormat="1" x14ac:dyDescent="0.25">
      <c r="B556" s="7"/>
      <c r="C556" s="7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2:24" s="8" customFormat="1" x14ac:dyDescent="0.25">
      <c r="B557" s="7"/>
      <c r="C557" s="7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2:24" s="8" customFormat="1" x14ac:dyDescent="0.25">
      <c r="B558" s="7"/>
      <c r="C558" s="7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2:24" s="8" customFormat="1" x14ac:dyDescent="0.25">
      <c r="B559" s="7"/>
      <c r="C559" s="7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2:24" s="8" customFormat="1" x14ac:dyDescent="0.25">
      <c r="B560" s="7"/>
      <c r="C560" s="7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2:24" s="8" customFormat="1" x14ac:dyDescent="0.25">
      <c r="B561" s="7"/>
      <c r="C561" s="7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2:24" s="8" customFormat="1" x14ac:dyDescent="0.25">
      <c r="B562" s="7"/>
      <c r="C562" s="7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2:24" s="8" customFormat="1" x14ac:dyDescent="0.25">
      <c r="B563" s="7"/>
      <c r="C563" s="7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2:24" s="8" customFormat="1" x14ac:dyDescent="0.25">
      <c r="B564" s="7"/>
      <c r="C564" s="7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2:24" s="8" customFormat="1" x14ac:dyDescent="0.25">
      <c r="B565" s="7"/>
      <c r="C565" s="7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2:24" s="8" customFormat="1" x14ac:dyDescent="0.25">
      <c r="B566" s="7"/>
      <c r="C566" s="7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2:24" s="8" customFormat="1" x14ac:dyDescent="0.25">
      <c r="B567" s="7"/>
      <c r="C567" s="7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2:24" s="8" customFormat="1" x14ac:dyDescent="0.25">
      <c r="B568" s="7"/>
      <c r="C568" s="7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2:24" s="8" customFormat="1" x14ac:dyDescent="0.25">
      <c r="B569" s="7"/>
      <c r="C569" s="7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2:24" s="8" customFormat="1" x14ac:dyDescent="0.25">
      <c r="B570" s="7"/>
      <c r="C570" s="7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2:24" s="8" customFormat="1" x14ac:dyDescent="0.25">
      <c r="B571" s="7"/>
      <c r="C571" s="7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2:24" s="8" customFormat="1" x14ac:dyDescent="0.25">
      <c r="B572" s="7"/>
      <c r="C572" s="7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2:24" s="8" customFormat="1" x14ac:dyDescent="0.25">
      <c r="B573" s="7"/>
      <c r="C573" s="7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2:24" s="8" customFormat="1" x14ac:dyDescent="0.25">
      <c r="B574" s="7"/>
      <c r="C574" s="7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2:24" s="8" customFormat="1" x14ac:dyDescent="0.25">
      <c r="B575" s="7"/>
      <c r="C575" s="7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2:24" s="8" customFormat="1" x14ac:dyDescent="0.25">
      <c r="B576" s="7"/>
      <c r="C576" s="7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2:24" s="8" customFormat="1" x14ac:dyDescent="0.25">
      <c r="B577" s="7"/>
      <c r="C577" s="7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2:24" s="8" customFormat="1" x14ac:dyDescent="0.25">
      <c r="B578" s="7"/>
      <c r="C578" s="7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2:24" s="8" customFormat="1" x14ac:dyDescent="0.25">
      <c r="B579" s="7"/>
      <c r="C579" s="7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2:24" s="8" customFormat="1" x14ac:dyDescent="0.25">
      <c r="B580" s="7"/>
      <c r="C580" s="7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2:24" s="8" customFormat="1" x14ac:dyDescent="0.25">
      <c r="B581" s="7"/>
      <c r="C581" s="7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2:24" s="8" customFormat="1" x14ac:dyDescent="0.25">
      <c r="B582" s="7"/>
      <c r="C582" s="7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2:24" s="8" customFormat="1" x14ac:dyDescent="0.25">
      <c r="B583" s="7"/>
      <c r="C583" s="7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2:24" s="8" customFormat="1" x14ac:dyDescent="0.25">
      <c r="B584" s="7"/>
      <c r="C584" s="7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2:24" s="8" customFormat="1" x14ac:dyDescent="0.25">
      <c r="B585" s="7"/>
      <c r="C585" s="7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2:24" s="8" customFormat="1" x14ac:dyDescent="0.25">
      <c r="B586" s="7"/>
      <c r="C586" s="7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2:24" s="8" customFormat="1" x14ac:dyDescent="0.25">
      <c r="B587" s="7"/>
      <c r="C587" s="7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2:24" s="8" customFormat="1" x14ac:dyDescent="0.25">
      <c r="B588" s="7"/>
      <c r="C588" s="7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2:24" s="8" customFormat="1" x14ac:dyDescent="0.25">
      <c r="B589" s="7"/>
      <c r="C589" s="7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</sheetData>
  <sortState xmlns:xlrd2="http://schemas.microsoft.com/office/spreadsheetml/2017/richdata2" ref="A2:F118">
    <sortCondition ref="E2:E118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BB1A-62BE-415B-8CCD-17A851ED17D7}">
  <sheetPr codeName="Sheet8"/>
  <dimension ref="A1:H991"/>
  <sheetViews>
    <sheetView workbookViewId="0">
      <selection activeCell="B17" sqref="B17"/>
    </sheetView>
  </sheetViews>
  <sheetFormatPr defaultColWidth="14.42578125" defaultRowHeight="18" x14ac:dyDescent="0.25"/>
  <cols>
    <col min="1" max="1" width="36.28515625" style="4" bestFit="1" customWidth="1"/>
    <col min="2" max="2" width="28.140625" style="7" bestFit="1" customWidth="1"/>
    <col min="3" max="3" width="47.140625" style="7" bestFit="1" customWidth="1"/>
    <col min="4" max="4" width="28.140625" style="7" bestFit="1" customWidth="1"/>
    <col min="5" max="5" width="22.7109375" style="7" bestFit="1" customWidth="1"/>
    <col min="6" max="6" width="26.28515625" style="7" bestFit="1" customWidth="1"/>
    <col min="7" max="27" width="22.5703125" style="7" customWidth="1"/>
    <col min="28" max="16384" width="14.42578125" style="7"/>
  </cols>
  <sheetData>
    <row r="1" spans="1:8" s="4" customFormat="1" x14ac:dyDescent="0.25">
      <c r="B1" s="13" t="s">
        <v>158</v>
      </c>
      <c r="C1" s="13" t="s">
        <v>224</v>
      </c>
      <c r="D1" s="13" t="s">
        <v>163</v>
      </c>
      <c r="E1" s="14" t="s">
        <v>223</v>
      </c>
      <c r="F1" s="14" t="s">
        <v>160</v>
      </c>
    </row>
    <row r="2" spans="1:8" x14ac:dyDescent="0.25">
      <c r="A2" s="4" t="s">
        <v>220</v>
      </c>
      <c r="B2" s="15">
        <f>'1ST TERM ACCOUNT'!AC137</f>
        <v>78000</v>
      </c>
      <c r="C2" s="15">
        <f>B2*0.7</f>
        <v>54600</v>
      </c>
      <c r="D2" s="15"/>
      <c r="E2" s="16"/>
      <c r="F2" s="15">
        <f>$C$2-D2</f>
        <v>54600</v>
      </c>
    </row>
    <row r="3" spans="1:8" x14ac:dyDescent="0.25">
      <c r="A3" s="4" t="s">
        <v>222</v>
      </c>
      <c r="B3" s="15">
        <f>SUMIF('1ST TERM ACCOUNT'!T13:T136,6000)</f>
        <v>216000</v>
      </c>
      <c r="C3" s="15"/>
      <c r="D3" s="15"/>
      <c r="E3" s="16"/>
      <c r="F3" s="15">
        <f>$C$2-(D2+D3)</f>
        <v>54600</v>
      </c>
    </row>
    <row r="4" spans="1:8" x14ac:dyDescent="0.25">
      <c r="A4" s="4" t="s">
        <v>221</v>
      </c>
      <c r="B4" s="15">
        <f>B3-B2</f>
        <v>138000</v>
      </c>
      <c r="C4" s="15"/>
      <c r="D4" s="15"/>
      <c r="E4" s="16"/>
      <c r="F4" s="15">
        <f>$C$2-(D2+D3+D4)</f>
        <v>54600</v>
      </c>
    </row>
    <row r="5" spans="1:8" x14ac:dyDescent="0.25">
      <c r="B5" s="15"/>
      <c r="C5" s="15"/>
      <c r="D5" s="15"/>
      <c r="E5" s="16"/>
      <c r="F5" s="15">
        <f>$C$2-(D2+D3+D4+D5)</f>
        <v>54600</v>
      </c>
      <c r="H5" s="17"/>
    </row>
    <row r="6" spans="1:8" x14ac:dyDescent="0.25">
      <c r="B6" s="15"/>
      <c r="C6" s="15"/>
      <c r="D6" s="15"/>
      <c r="E6" s="16"/>
    </row>
    <row r="7" spans="1:8" s="4" customFormat="1" x14ac:dyDescent="0.25">
      <c r="B7" s="13" t="s">
        <v>161</v>
      </c>
      <c r="C7" s="13" t="s">
        <v>224</v>
      </c>
      <c r="D7" s="13" t="s">
        <v>163</v>
      </c>
      <c r="E7" s="14" t="s">
        <v>223</v>
      </c>
      <c r="F7" s="14" t="s">
        <v>160</v>
      </c>
    </row>
    <row r="8" spans="1:8" x14ac:dyDescent="0.25">
      <c r="A8" s="4" t="s">
        <v>220</v>
      </c>
      <c r="B8" s="15">
        <f>'1ST TERM ACCOUNT'!AD137</f>
        <v>0</v>
      </c>
      <c r="C8" s="15">
        <f>B8*0.7</f>
        <v>0</v>
      </c>
      <c r="D8" s="15"/>
      <c r="E8" s="16"/>
      <c r="F8" s="15">
        <f>$C$8-D8</f>
        <v>0</v>
      </c>
    </row>
    <row r="9" spans="1:8" x14ac:dyDescent="0.25">
      <c r="A9" s="4" t="s">
        <v>222</v>
      </c>
      <c r="B9" s="15">
        <f>SUMIF('1ST TERM ACCOUNT'!T13:T136,8000)</f>
        <v>32000</v>
      </c>
      <c r="C9" s="15"/>
      <c r="D9" s="15"/>
      <c r="E9" s="16"/>
      <c r="F9" s="15">
        <f>$C$8-(D8+D9)</f>
        <v>0</v>
      </c>
    </row>
    <row r="10" spans="1:8" x14ac:dyDescent="0.25">
      <c r="A10" s="4" t="s">
        <v>221</v>
      </c>
      <c r="B10" s="15">
        <f>B9-B8</f>
        <v>32000</v>
      </c>
      <c r="C10" s="15"/>
      <c r="D10" s="15"/>
      <c r="E10" s="16"/>
      <c r="F10" s="15">
        <f>$C$8-(D8+D9+D10)</f>
        <v>0</v>
      </c>
    </row>
    <row r="11" spans="1:8" x14ac:dyDescent="0.25">
      <c r="B11" s="15"/>
      <c r="C11" s="15"/>
      <c r="D11" s="15"/>
      <c r="E11" s="16"/>
      <c r="F11" s="15">
        <f>$C$8-(D8+D9+D10+D11)</f>
        <v>0</v>
      </c>
    </row>
    <row r="12" spans="1:8" x14ac:dyDescent="0.25">
      <c r="B12" s="15"/>
      <c r="C12" s="15"/>
      <c r="D12" s="15"/>
      <c r="E12" s="16"/>
    </row>
    <row r="13" spans="1:8" s="4" customFormat="1" x14ac:dyDescent="0.25">
      <c r="B13" s="13" t="s">
        <v>162</v>
      </c>
      <c r="C13" s="13" t="s">
        <v>225</v>
      </c>
      <c r="D13" s="13" t="s">
        <v>163</v>
      </c>
      <c r="E13" s="14" t="s">
        <v>223</v>
      </c>
      <c r="F13" s="14" t="s">
        <v>160</v>
      </c>
    </row>
    <row r="14" spans="1:8" x14ac:dyDescent="0.25">
      <c r="A14" s="4" t="s">
        <v>220</v>
      </c>
      <c r="B14" s="15">
        <f>'1ST TERM ACCOUNT'!AE137</f>
        <v>0</v>
      </c>
      <c r="C14" s="15">
        <f>B14</f>
        <v>0</v>
      </c>
      <c r="D14" s="15"/>
      <c r="E14" s="16"/>
      <c r="F14" s="15">
        <f>$C$14-D14</f>
        <v>0</v>
      </c>
    </row>
    <row r="15" spans="1:8" x14ac:dyDescent="0.25">
      <c r="A15" s="4" t="s">
        <v>222</v>
      </c>
      <c r="B15" s="15">
        <f>SUM('1ST TERM ACCOUNT'!W13:W136)</f>
        <v>0</v>
      </c>
      <c r="C15" s="15"/>
      <c r="D15" s="15"/>
      <c r="E15" s="16"/>
      <c r="F15" s="15">
        <f>$C$14-(D14+D15)</f>
        <v>0</v>
      </c>
    </row>
    <row r="16" spans="1:8" x14ac:dyDescent="0.25">
      <c r="A16" s="4" t="s">
        <v>221</v>
      </c>
      <c r="B16" s="15">
        <f>B15-B14</f>
        <v>0</v>
      </c>
      <c r="C16" s="15"/>
      <c r="D16" s="15"/>
      <c r="E16" s="16"/>
      <c r="F16" s="15">
        <f>$C$14-(D14+D15+D16)</f>
        <v>0</v>
      </c>
    </row>
    <row r="17" spans="2:6" x14ac:dyDescent="0.25">
      <c r="B17" s="15"/>
      <c r="C17" s="15"/>
      <c r="D17" s="15"/>
      <c r="E17" s="16"/>
      <c r="F17" s="15">
        <f>$C$14-(D14+D15+D16+D17)</f>
        <v>0</v>
      </c>
    </row>
    <row r="18" spans="2:6" x14ac:dyDescent="0.25">
      <c r="B18" s="15"/>
      <c r="C18" s="15"/>
      <c r="D18" s="15"/>
      <c r="E18" s="16"/>
      <c r="F18" s="15">
        <f>$C$14-(D15+D16+D17+D18+D14)</f>
        <v>0</v>
      </c>
    </row>
    <row r="19" spans="2:6" x14ac:dyDescent="0.25">
      <c r="B19" s="15"/>
      <c r="C19" s="15"/>
      <c r="D19" s="15"/>
      <c r="E19" s="16"/>
      <c r="F19" s="15">
        <f>$C$14-(D14+D15+D16+D17+D18+D19)</f>
        <v>0</v>
      </c>
    </row>
    <row r="20" spans="2:6" x14ac:dyDescent="0.25">
      <c r="B20" s="15"/>
      <c r="C20" s="15"/>
      <c r="D20" s="15"/>
      <c r="E20" s="16"/>
    </row>
    <row r="21" spans="2:6" x14ac:dyDescent="0.25">
      <c r="B21" s="15"/>
      <c r="C21" s="15"/>
      <c r="D21" s="15"/>
      <c r="E21" s="16"/>
    </row>
    <row r="22" spans="2:6" x14ac:dyDescent="0.25">
      <c r="B22" s="15"/>
      <c r="C22" s="15"/>
      <c r="D22" s="15"/>
      <c r="E22" s="16"/>
    </row>
    <row r="23" spans="2:6" x14ac:dyDescent="0.25">
      <c r="B23" s="15"/>
      <c r="C23" s="15"/>
      <c r="D23" s="15"/>
      <c r="E23" s="16"/>
    </row>
    <row r="24" spans="2:6" x14ac:dyDescent="0.25">
      <c r="B24" s="15"/>
      <c r="C24" s="15"/>
      <c r="D24" s="15"/>
      <c r="E24" s="16"/>
    </row>
    <row r="25" spans="2:6" x14ac:dyDescent="0.25">
      <c r="B25" s="15"/>
      <c r="C25" s="15"/>
      <c r="D25" s="15"/>
      <c r="E25" s="16"/>
    </row>
    <row r="26" spans="2:6" x14ac:dyDescent="0.25">
      <c r="B26" s="15"/>
      <c r="C26" s="15"/>
      <c r="D26" s="15"/>
      <c r="E26" s="16"/>
    </row>
    <row r="27" spans="2:6" x14ac:dyDescent="0.25">
      <c r="B27" s="15"/>
      <c r="C27" s="15"/>
      <c r="D27" s="15"/>
      <c r="E27" s="16"/>
    </row>
    <row r="28" spans="2:6" x14ac:dyDescent="0.25">
      <c r="B28" s="15"/>
      <c r="C28" s="15"/>
      <c r="D28" s="15"/>
      <c r="E28" s="16"/>
    </row>
    <row r="29" spans="2:6" x14ac:dyDescent="0.25">
      <c r="B29" s="15"/>
      <c r="C29" s="15"/>
      <c r="D29" s="15"/>
      <c r="E29" s="16"/>
    </row>
    <row r="30" spans="2:6" x14ac:dyDescent="0.25">
      <c r="B30" s="15"/>
      <c r="C30" s="15"/>
      <c r="D30" s="15"/>
      <c r="E30" s="16"/>
    </row>
    <row r="31" spans="2:6" x14ac:dyDescent="0.25">
      <c r="B31" s="15"/>
      <c r="C31" s="15"/>
      <c r="D31" s="15"/>
      <c r="E31" s="16"/>
    </row>
    <row r="32" spans="2:6" x14ac:dyDescent="0.25">
      <c r="B32" s="15"/>
      <c r="C32" s="15"/>
      <c r="D32" s="15"/>
      <c r="E32" s="16"/>
    </row>
    <row r="33" spans="2:5" x14ac:dyDescent="0.25">
      <c r="B33" s="15"/>
      <c r="C33" s="15"/>
      <c r="D33" s="15"/>
      <c r="E33" s="16"/>
    </row>
    <row r="34" spans="2:5" x14ac:dyDescent="0.25">
      <c r="B34" s="15"/>
      <c r="C34" s="15"/>
      <c r="D34" s="15"/>
      <c r="E34" s="16"/>
    </row>
    <row r="35" spans="2:5" x14ac:dyDescent="0.25">
      <c r="B35" s="15"/>
      <c r="C35" s="15"/>
      <c r="D35" s="15"/>
      <c r="E35" s="16"/>
    </row>
    <row r="36" spans="2:5" x14ac:dyDescent="0.25">
      <c r="B36" s="15"/>
      <c r="C36" s="15"/>
      <c r="D36" s="15"/>
      <c r="E36" s="16"/>
    </row>
    <row r="37" spans="2:5" x14ac:dyDescent="0.25">
      <c r="B37" s="15"/>
      <c r="C37" s="15"/>
      <c r="D37" s="15"/>
      <c r="E37" s="16"/>
    </row>
    <row r="38" spans="2:5" x14ac:dyDescent="0.25">
      <c r="B38" s="15"/>
      <c r="C38" s="15"/>
      <c r="D38" s="15"/>
      <c r="E38" s="16"/>
    </row>
    <row r="39" spans="2:5" x14ac:dyDescent="0.25">
      <c r="B39" s="15"/>
      <c r="C39" s="15"/>
      <c r="D39" s="15"/>
      <c r="E39" s="16"/>
    </row>
    <row r="40" spans="2:5" x14ac:dyDescent="0.25">
      <c r="B40" s="15"/>
      <c r="C40" s="15"/>
      <c r="D40" s="15"/>
      <c r="E40" s="16"/>
    </row>
    <row r="41" spans="2:5" x14ac:dyDescent="0.25">
      <c r="B41" s="15"/>
      <c r="C41" s="15"/>
      <c r="D41" s="15"/>
      <c r="E41" s="16"/>
    </row>
    <row r="42" spans="2:5" x14ac:dyDescent="0.25">
      <c r="B42" s="15"/>
      <c r="C42" s="15"/>
      <c r="D42" s="15"/>
      <c r="E42" s="16"/>
    </row>
    <row r="43" spans="2:5" x14ac:dyDescent="0.25">
      <c r="B43" s="15"/>
      <c r="C43" s="15"/>
      <c r="D43" s="15"/>
      <c r="E43" s="16"/>
    </row>
    <row r="44" spans="2:5" x14ac:dyDescent="0.25">
      <c r="B44" s="15"/>
      <c r="C44" s="15"/>
      <c r="D44" s="15"/>
      <c r="E44" s="16"/>
    </row>
    <row r="45" spans="2:5" x14ac:dyDescent="0.25">
      <c r="B45" s="15"/>
      <c r="C45" s="15"/>
      <c r="D45" s="15"/>
      <c r="E45" s="16"/>
    </row>
    <row r="46" spans="2:5" x14ac:dyDescent="0.25">
      <c r="B46" s="15"/>
      <c r="C46" s="15"/>
      <c r="D46" s="15"/>
      <c r="E46" s="16"/>
    </row>
    <row r="47" spans="2:5" x14ac:dyDescent="0.25">
      <c r="B47" s="15"/>
      <c r="C47" s="15"/>
      <c r="D47" s="15"/>
      <c r="E47" s="16"/>
    </row>
    <row r="48" spans="2:5" x14ac:dyDescent="0.25">
      <c r="B48" s="15"/>
      <c r="C48" s="15"/>
      <c r="D48" s="15"/>
      <c r="E48" s="16"/>
    </row>
    <row r="49" spans="2:5" x14ac:dyDescent="0.25">
      <c r="B49" s="15"/>
      <c r="C49" s="15"/>
      <c r="D49" s="15"/>
      <c r="E49" s="16"/>
    </row>
    <row r="50" spans="2:5" x14ac:dyDescent="0.25">
      <c r="B50" s="15"/>
      <c r="C50" s="15"/>
      <c r="D50" s="15"/>
      <c r="E50" s="16"/>
    </row>
    <row r="51" spans="2:5" x14ac:dyDescent="0.25">
      <c r="B51" s="15"/>
      <c r="C51" s="15"/>
      <c r="D51" s="15"/>
      <c r="E51" s="16"/>
    </row>
    <row r="52" spans="2:5" x14ac:dyDescent="0.25">
      <c r="B52" s="15"/>
      <c r="C52" s="15"/>
      <c r="D52" s="15"/>
      <c r="E52" s="16"/>
    </row>
    <row r="53" spans="2:5" x14ac:dyDescent="0.25">
      <c r="B53" s="15"/>
      <c r="C53" s="15"/>
      <c r="D53" s="15"/>
      <c r="E53" s="16"/>
    </row>
    <row r="54" spans="2:5" x14ac:dyDescent="0.25">
      <c r="B54" s="15"/>
      <c r="C54" s="15"/>
      <c r="D54" s="15"/>
      <c r="E54" s="16"/>
    </row>
    <row r="55" spans="2:5" x14ac:dyDescent="0.25">
      <c r="B55" s="15"/>
      <c r="C55" s="15"/>
      <c r="D55" s="15"/>
      <c r="E55" s="16"/>
    </row>
    <row r="56" spans="2:5" x14ac:dyDescent="0.25">
      <c r="B56" s="15"/>
      <c r="C56" s="15"/>
      <c r="D56" s="15"/>
      <c r="E56" s="16"/>
    </row>
    <row r="57" spans="2:5" x14ac:dyDescent="0.25">
      <c r="B57" s="15"/>
      <c r="C57" s="15"/>
      <c r="D57" s="15"/>
      <c r="E57" s="16"/>
    </row>
    <row r="58" spans="2:5" x14ac:dyDescent="0.25">
      <c r="B58" s="15"/>
      <c r="C58" s="15"/>
      <c r="D58" s="15"/>
      <c r="E58" s="16"/>
    </row>
    <row r="59" spans="2:5" x14ac:dyDescent="0.25">
      <c r="B59" s="15"/>
      <c r="C59" s="15"/>
      <c r="D59" s="15"/>
      <c r="E59" s="16"/>
    </row>
    <row r="60" spans="2:5" x14ac:dyDescent="0.25">
      <c r="B60" s="15"/>
      <c r="C60" s="15"/>
      <c r="D60" s="15"/>
      <c r="E60" s="16"/>
    </row>
    <row r="61" spans="2:5" x14ac:dyDescent="0.25">
      <c r="B61" s="15"/>
      <c r="C61" s="15"/>
      <c r="D61" s="15"/>
      <c r="E61" s="16"/>
    </row>
    <row r="62" spans="2:5" x14ac:dyDescent="0.25">
      <c r="B62" s="15"/>
      <c r="C62" s="15"/>
      <c r="D62" s="15"/>
      <c r="E62" s="16"/>
    </row>
    <row r="63" spans="2:5" x14ac:dyDescent="0.25">
      <c r="B63" s="15"/>
      <c r="C63" s="15"/>
      <c r="D63" s="15"/>
      <c r="E63" s="16"/>
    </row>
    <row r="64" spans="2:5" x14ac:dyDescent="0.25">
      <c r="B64" s="15"/>
      <c r="C64" s="15"/>
      <c r="D64" s="15"/>
      <c r="E64" s="16"/>
    </row>
    <row r="65" spans="2:5" x14ac:dyDescent="0.25">
      <c r="B65" s="15"/>
      <c r="C65" s="15"/>
      <c r="D65" s="15"/>
      <c r="E65" s="16"/>
    </row>
    <row r="66" spans="2:5" x14ac:dyDescent="0.25">
      <c r="B66" s="15"/>
      <c r="C66" s="15"/>
      <c r="D66" s="15"/>
      <c r="E66" s="16"/>
    </row>
    <row r="67" spans="2:5" x14ac:dyDescent="0.25">
      <c r="B67" s="15"/>
      <c r="C67" s="15"/>
      <c r="D67" s="15"/>
      <c r="E67" s="16"/>
    </row>
    <row r="68" spans="2:5" x14ac:dyDescent="0.25">
      <c r="B68" s="15"/>
      <c r="C68" s="15"/>
      <c r="D68" s="15"/>
      <c r="E68" s="16"/>
    </row>
    <row r="69" spans="2:5" x14ac:dyDescent="0.25">
      <c r="B69" s="15"/>
      <c r="C69" s="15"/>
      <c r="D69" s="15"/>
      <c r="E69" s="16"/>
    </row>
    <row r="70" spans="2:5" x14ac:dyDescent="0.25">
      <c r="B70" s="15"/>
      <c r="C70" s="15"/>
      <c r="D70" s="15"/>
      <c r="E70" s="16"/>
    </row>
    <row r="71" spans="2:5" x14ac:dyDescent="0.25">
      <c r="B71" s="15"/>
      <c r="C71" s="15"/>
      <c r="D71" s="15"/>
      <c r="E71" s="16"/>
    </row>
    <row r="72" spans="2:5" x14ac:dyDescent="0.25">
      <c r="B72" s="15"/>
      <c r="C72" s="15"/>
      <c r="D72" s="15"/>
      <c r="E72" s="16"/>
    </row>
    <row r="73" spans="2:5" x14ac:dyDescent="0.25">
      <c r="B73" s="15"/>
      <c r="C73" s="15"/>
      <c r="D73" s="15"/>
      <c r="E73" s="16"/>
    </row>
    <row r="74" spans="2:5" x14ac:dyDescent="0.25">
      <c r="B74" s="15"/>
      <c r="C74" s="15"/>
      <c r="D74" s="15"/>
      <c r="E74" s="16"/>
    </row>
    <row r="75" spans="2:5" x14ac:dyDescent="0.25">
      <c r="B75" s="15"/>
      <c r="C75" s="15"/>
      <c r="D75" s="15"/>
      <c r="E75" s="16"/>
    </row>
    <row r="76" spans="2:5" x14ac:dyDescent="0.25">
      <c r="B76" s="15"/>
      <c r="C76" s="15"/>
      <c r="D76" s="15"/>
      <c r="E76" s="16"/>
    </row>
    <row r="77" spans="2:5" x14ac:dyDescent="0.25">
      <c r="B77" s="15"/>
      <c r="C77" s="15"/>
      <c r="D77" s="15"/>
      <c r="E77" s="16"/>
    </row>
    <row r="78" spans="2:5" x14ac:dyDescent="0.25">
      <c r="B78" s="15"/>
      <c r="C78" s="15"/>
      <c r="D78" s="15"/>
      <c r="E78" s="16"/>
    </row>
    <row r="79" spans="2:5" x14ac:dyDescent="0.25">
      <c r="B79" s="15"/>
      <c r="C79" s="15"/>
      <c r="D79" s="15"/>
      <c r="E79" s="16"/>
    </row>
    <row r="80" spans="2:5" x14ac:dyDescent="0.25">
      <c r="B80" s="15"/>
      <c r="C80" s="15"/>
      <c r="D80" s="15"/>
      <c r="E80" s="16"/>
    </row>
    <row r="81" spans="2:5" x14ac:dyDescent="0.25">
      <c r="B81" s="15"/>
      <c r="C81" s="15"/>
      <c r="D81" s="15"/>
      <c r="E81" s="16"/>
    </row>
    <row r="82" spans="2:5" x14ac:dyDescent="0.25">
      <c r="B82" s="15"/>
      <c r="C82" s="15"/>
      <c r="D82" s="15"/>
      <c r="E82" s="16"/>
    </row>
    <row r="83" spans="2:5" x14ac:dyDescent="0.25">
      <c r="B83" s="15"/>
      <c r="C83" s="15"/>
      <c r="D83" s="15"/>
      <c r="E83" s="16"/>
    </row>
    <row r="84" spans="2:5" x14ac:dyDescent="0.25">
      <c r="B84" s="15"/>
      <c r="C84" s="15"/>
      <c r="D84" s="15"/>
      <c r="E84" s="16"/>
    </row>
    <row r="85" spans="2:5" x14ac:dyDescent="0.25">
      <c r="B85" s="15"/>
      <c r="C85" s="15"/>
      <c r="D85" s="15"/>
      <c r="E85" s="16"/>
    </row>
    <row r="86" spans="2:5" x14ac:dyDescent="0.25">
      <c r="B86" s="15"/>
      <c r="C86" s="15"/>
      <c r="D86" s="15"/>
      <c r="E86" s="16"/>
    </row>
    <row r="87" spans="2:5" x14ac:dyDescent="0.25">
      <c r="B87" s="15"/>
      <c r="C87" s="15"/>
      <c r="D87" s="15"/>
      <c r="E87" s="16"/>
    </row>
    <row r="88" spans="2:5" x14ac:dyDescent="0.25">
      <c r="B88" s="15"/>
      <c r="C88" s="15"/>
      <c r="D88" s="15"/>
      <c r="E88" s="16"/>
    </row>
    <row r="89" spans="2:5" x14ac:dyDescent="0.25">
      <c r="B89" s="15"/>
      <c r="C89" s="15"/>
      <c r="D89" s="15"/>
      <c r="E89" s="16"/>
    </row>
    <row r="90" spans="2:5" x14ac:dyDescent="0.25">
      <c r="B90" s="15"/>
      <c r="C90" s="15"/>
      <c r="D90" s="15"/>
      <c r="E90" s="16"/>
    </row>
    <row r="91" spans="2:5" x14ac:dyDescent="0.25">
      <c r="B91" s="15"/>
      <c r="C91" s="15"/>
      <c r="D91" s="15"/>
      <c r="E91" s="16"/>
    </row>
    <row r="92" spans="2:5" x14ac:dyDescent="0.25">
      <c r="B92" s="15"/>
      <c r="C92" s="15"/>
      <c r="D92" s="15"/>
      <c r="E92" s="16"/>
    </row>
    <row r="93" spans="2:5" x14ac:dyDescent="0.25">
      <c r="B93" s="15"/>
      <c r="C93" s="15"/>
      <c r="D93" s="15"/>
      <c r="E93" s="16"/>
    </row>
    <row r="94" spans="2:5" x14ac:dyDescent="0.25">
      <c r="B94" s="15"/>
      <c r="C94" s="15"/>
      <c r="D94" s="15"/>
      <c r="E94" s="16"/>
    </row>
    <row r="95" spans="2:5" x14ac:dyDescent="0.25">
      <c r="B95" s="15"/>
      <c r="C95" s="15"/>
      <c r="D95" s="15"/>
      <c r="E95" s="16"/>
    </row>
    <row r="96" spans="2:5" x14ac:dyDescent="0.25">
      <c r="B96" s="15"/>
      <c r="C96" s="15"/>
      <c r="D96" s="15"/>
      <c r="E96" s="16"/>
    </row>
    <row r="97" spans="2:5" x14ac:dyDescent="0.25">
      <c r="B97" s="15"/>
      <c r="C97" s="15"/>
      <c r="D97" s="15"/>
      <c r="E97" s="16"/>
    </row>
    <row r="98" spans="2:5" x14ac:dyDescent="0.25">
      <c r="B98" s="15"/>
      <c r="C98" s="15"/>
      <c r="D98" s="15"/>
      <c r="E98" s="16"/>
    </row>
    <row r="99" spans="2:5" x14ac:dyDescent="0.25">
      <c r="B99" s="15"/>
      <c r="C99" s="15"/>
      <c r="D99" s="15"/>
      <c r="E99" s="16"/>
    </row>
    <row r="100" spans="2:5" x14ac:dyDescent="0.25">
      <c r="B100" s="15"/>
      <c r="C100" s="15"/>
      <c r="D100" s="15"/>
      <c r="E100" s="16"/>
    </row>
    <row r="101" spans="2:5" x14ac:dyDescent="0.25">
      <c r="B101" s="15"/>
      <c r="C101" s="15"/>
      <c r="D101" s="15"/>
      <c r="E101" s="16"/>
    </row>
    <row r="102" spans="2:5" x14ac:dyDescent="0.25">
      <c r="B102" s="15"/>
      <c r="C102" s="15"/>
      <c r="D102" s="15"/>
      <c r="E102" s="16"/>
    </row>
    <row r="103" spans="2:5" x14ac:dyDescent="0.25">
      <c r="B103" s="15"/>
      <c r="C103" s="15"/>
      <c r="D103" s="15"/>
      <c r="E103" s="16"/>
    </row>
    <row r="104" spans="2:5" x14ac:dyDescent="0.25">
      <c r="B104" s="15"/>
      <c r="C104" s="15"/>
      <c r="D104" s="15"/>
      <c r="E104" s="16"/>
    </row>
    <row r="105" spans="2:5" x14ac:dyDescent="0.25">
      <c r="B105" s="15"/>
      <c r="C105" s="15"/>
      <c r="D105" s="15"/>
      <c r="E105" s="16"/>
    </row>
    <row r="106" spans="2:5" x14ac:dyDescent="0.25">
      <c r="B106" s="15"/>
      <c r="C106" s="15"/>
      <c r="D106" s="15"/>
      <c r="E106" s="16"/>
    </row>
    <row r="107" spans="2:5" x14ac:dyDescent="0.25">
      <c r="B107" s="15"/>
      <c r="C107" s="15"/>
      <c r="D107" s="15"/>
      <c r="E107" s="16"/>
    </row>
    <row r="108" spans="2:5" x14ac:dyDescent="0.25">
      <c r="B108" s="15"/>
      <c r="C108" s="15"/>
      <c r="D108" s="15"/>
      <c r="E108" s="16"/>
    </row>
    <row r="109" spans="2:5" x14ac:dyDescent="0.25">
      <c r="B109" s="15"/>
      <c r="C109" s="15"/>
      <c r="D109" s="15"/>
      <c r="E109" s="16"/>
    </row>
    <row r="110" spans="2:5" x14ac:dyDescent="0.25">
      <c r="B110" s="15"/>
      <c r="C110" s="15"/>
      <c r="D110" s="15"/>
      <c r="E110" s="16"/>
    </row>
    <row r="111" spans="2:5" x14ac:dyDescent="0.25">
      <c r="B111" s="15"/>
      <c r="C111" s="15"/>
      <c r="D111" s="15"/>
      <c r="E111" s="16"/>
    </row>
    <row r="112" spans="2:5" x14ac:dyDescent="0.25">
      <c r="B112" s="15"/>
      <c r="C112" s="15"/>
      <c r="D112" s="15"/>
      <c r="E112" s="16"/>
    </row>
    <row r="113" spans="2:5" x14ac:dyDescent="0.25">
      <c r="B113" s="15"/>
      <c r="C113" s="15"/>
      <c r="D113" s="15"/>
      <c r="E113" s="16"/>
    </row>
    <row r="114" spans="2:5" x14ac:dyDescent="0.25">
      <c r="B114" s="15"/>
      <c r="C114" s="15"/>
      <c r="D114" s="15"/>
      <c r="E114" s="16"/>
    </row>
    <row r="115" spans="2:5" x14ac:dyDescent="0.25">
      <c r="B115" s="15"/>
      <c r="C115" s="15"/>
      <c r="D115" s="15"/>
      <c r="E115" s="16"/>
    </row>
    <row r="116" spans="2:5" x14ac:dyDescent="0.25">
      <c r="B116" s="15"/>
      <c r="C116" s="15"/>
      <c r="D116" s="15"/>
      <c r="E116" s="16"/>
    </row>
    <row r="117" spans="2:5" x14ac:dyDescent="0.25">
      <c r="B117" s="15"/>
      <c r="C117" s="15"/>
      <c r="D117" s="15"/>
      <c r="E117" s="16"/>
    </row>
    <row r="118" spans="2:5" x14ac:dyDescent="0.25">
      <c r="B118" s="15"/>
      <c r="C118" s="15"/>
      <c r="D118" s="15"/>
      <c r="E118" s="16"/>
    </row>
    <row r="119" spans="2:5" x14ac:dyDescent="0.25">
      <c r="B119" s="15"/>
      <c r="C119" s="15"/>
      <c r="D119" s="15"/>
      <c r="E119" s="16"/>
    </row>
    <row r="120" spans="2:5" x14ac:dyDescent="0.25">
      <c r="B120" s="15"/>
      <c r="C120" s="15"/>
      <c r="D120" s="15"/>
      <c r="E120" s="16"/>
    </row>
    <row r="121" spans="2:5" x14ac:dyDescent="0.25">
      <c r="B121" s="15"/>
      <c r="C121" s="15"/>
      <c r="D121" s="15"/>
      <c r="E121" s="16"/>
    </row>
    <row r="122" spans="2:5" x14ac:dyDescent="0.25">
      <c r="B122" s="15"/>
      <c r="C122" s="15"/>
      <c r="D122" s="15"/>
      <c r="E122" s="16"/>
    </row>
    <row r="123" spans="2:5" x14ac:dyDescent="0.25">
      <c r="B123" s="15"/>
      <c r="C123" s="15"/>
      <c r="D123" s="15"/>
      <c r="E123" s="16"/>
    </row>
    <row r="124" spans="2:5" x14ac:dyDescent="0.25">
      <c r="B124" s="15"/>
      <c r="C124" s="15"/>
      <c r="D124" s="15"/>
      <c r="E124" s="16"/>
    </row>
    <row r="125" spans="2:5" x14ac:dyDescent="0.25">
      <c r="B125" s="15"/>
      <c r="C125" s="15"/>
      <c r="D125" s="15"/>
      <c r="E125" s="16"/>
    </row>
    <row r="126" spans="2:5" x14ac:dyDescent="0.25">
      <c r="B126" s="15"/>
      <c r="C126" s="15"/>
      <c r="D126" s="15"/>
      <c r="E126" s="16"/>
    </row>
    <row r="127" spans="2:5" x14ac:dyDescent="0.25">
      <c r="B127" s="15"/>
      <c r="C127" s="15"/>
      <c r="D127" s="15"/>
      <c r="E127" s="16"/>
    </row>
    <row r="128" spans="2:5" x14ac:dyDescent="0.25">
      <c r="B128" s="15"/>
      <c r="C128" s="15"/>
      <c r="D128" s="15"/>
      <c r="E128" s="16"/>
    </row>
    <row r="129" spans="2:5" x14ac:dyDescent="0.25">
      <c r="B129" s="15"/>
      <c r="C129" s="15"/>
      <c r="D129" s="15"/>
      <c r="E129" s="16"/>
    </row>
    <row r="130" spans="2:5" x14ac:dyDescent="0.25">
      <c r="B130" s="15"/>
      <c r="C130" s="15"/>
      <c r="D130" s="15"/>
      <c r="E130" s="16"/>
    </row>
    <row r="131" spans="2:5" x14ac:dyDescent="0.25">
      <c r="B131" s="15"/>
      <c r="C131" s="15"/>
      <c r="D131" s="15"/>
      <c r="E131" s="16"/>
    </row>
    <row r="132" spans="2:5" x14ac:dyDescent="0.25">
      <c r="B132" s="15"/>
      <c r="C132" s="15"/>
      <c r="D132" s="15"/>
      <c r="E132" s="16"/>
    </row>
    <row r="133" spans="2:5" x14ac:dyDescent="0.25">
      <c r="B133" s="15"/>
      <c r="C133" s="15"/>
      <c r="D133" s="15"/>
      <c r="E133" s="16"/>
    </row>
    <row r="134" spans="2:5" x14ac:dyDescent="0.25">
      <c r="B134" s="15"/>
      <c r="C134" s="15"/>
      <c r="D134" s="15"/>
      <c r="E134" s="16"/>
    </row>
    <row r="135" spans="2:5" x14ac:dyDescent="0.25">
      <c r="B135" s="15"/>
      <c r="C135" s="15"/>
      <c r="D135" s="15"/>
      <c r="E135" s="16"/>
    </row>
    <row r="136" spans="2:5" x14ac:dyDescent="0.25">
      <c r="B136" s="15"/>
      <c r="C136" s="15"/>
      <c r="D136" s="15"/>
      <c r="E136" s="16"/>
    </row>
    <row r="137" spans="2:5" x14ac:dyDescent="0.25">
      <c r="B137" s="15"/>
      <c r="C137" s="15"/>
      <c r="D137" s="15"/>
      <c r="E137" s="16"/>
    </row>
    <row r="138" spans="2:5" x14ac:dyDescent="0.25">
      <c r="B138" s="15"/>
      <c r="C138" s="15"/>
      <c r="D138" s="15"/>
      <c r="E138" s="16"/>
    </row>
    <row r="139" spans="2:5" x14ac:dyDescent="0.25">
      <c r="B139" s="15"/>
      <c r="C139" s="15"/>
      <c r="D139" s="15"/>
      <c r="E139" s="16"/>
    </row>
    <row r="140" spans="2:5" x14ac:dyDescent="0.25">
      <c r="B140" s="15"/>
      <c r="C140" s="15"/>
      <c r="D140" s="15"/>
      <c r="E140" s="16"/>
    </row>
    <row r="141" spans="2:5" x14ac:dyDescent="0.25">
      <c r="B141" s="15"/>
      <c r="C141" s="15"/>
      <c r="D141" s="15"/>
      <c r="E141" s="16"/>
    </row>
    <row r="142" spans="2:5" x14ac:dyDescent="0.25">
      <c r="B142" s="15"/>
      <c r="C142" s="15"/>
      <c r="D142" s="15"/>
      <c r="E142" s="16"/>
    </row>
    <row r="143" spans="2:5" x14ac:dyDescent="0.25">
      <c r="B143" s="15"/>
      <c r="C143" s="15"/>
      <c r="D143" s="15"/>
      <c r="E143" s="16"/>
    </row>
    <row r="144" spans="2:5" x14ac:dyDescent="0.25">
      <c r="B144" s="15"/>
      <c r="C144" s="15"/>
      <c r="D144" s="15"/>
      <c r="E144" s="16"/>
    </row>
    <row r="145" spans="2:5" x14ac:dyDescent="0.25">
      <c r="B145" s="15"/>
      <c r="C145" s="15"/>
      <c r="D145" s="15"/>
      <c r="E145" s="16"/>
    </row>
    <row r="146" spans="2:5" x14ac:dyDescent="0.25">
      <c r="B146" s="15"/>
      <c r="C146" s="15"/>
      <c r="D146" s="15"/>
      <c r="E146" s="16"/>
    </row>
    <row r="147" spans="2:5" x14ac:dyDescent="0.25">
      <c r="B147" s="15"/>
      <c r="C147" s="15"/>
      <c r="D147" s="15"/>
      <c r="E147" s="16"/>
    </row>
    <row r="148" spans="2:5" x14ac:dyDescent="0.25">
      <c r="B148" s="15"/>
      <c r="C148" s="15"/>
      <c r="D148" s="15"/>
      <c r="E148" s="16"/>
    </row>
    <row r="149" spans="2:5" x14ac:dyDescent="0.25">
      <c r="B149" s="15"/>
      <c r="C149" s="15"/>
      <c r="D149" s="15"/>
      <c r="E149" s="16"/>
    </row>
    <row r="150" spans="2:5" x14ac:dyDescent="0.25">
      <c r="B150" s="15"/>
      <c r="C150" s="15"/>
      <c r="D150" s="15"/>
      <c r="E150" s="16"/>
    </row>
    <row r="151" spans="2:5" x14ac:dyDescent="0.25">
      <c r="B151" s="15"/>
      <c r="C151" s="15"/>
      <c r="D151" s="15"/>
      <c r="E151" s="16"/>
    </row>
    <row r="152" spans="2:5" x14ac:dyDescent="0.25">
      <c r="B152" s="15"/>
      <c r="C152" s="15"/>
      <c r="D152" s="15"/>
      <c r="E152" s="16"/>
    </row>
    <row r="153" spans="2:5" x14ac:dyDescent="0.25">
      <c r="B153" s="15"/>
      <c r="C153" s="15"/>
      <c r="D153" s="15"/>
      <c r="E153" s="16"/>
    </row>
    <row r="154" spans="2:5" x14ac:dyDescent="0.25">
      <c r="B154" s="15"/>
      <c r="C154" s="15"/>
      <c r="D154" s="15"/>
      <c r="E154" s="16"/>
    </row>
    <row r="155" spans="2:5" x14ac:dyDescent="0.25">
      <c r="B155" s="15"/>
      <c r="C155" s="15"/>
      <c r="D155" s="15"/>
      <c r="E155" s="16"/>
    </row>
    <row r="156" spans="2:5" x14ac:dyDescent="0.25">
      <c r="B156" s="15"/>
      <c r="C156" s="15"/>
      <c r="D156" s="15"/>
      <c r="E156" s="16"/>
    </row>
    <row r="157" spans="2:5" x14ac:dyDescent="0.25">
      <c r="B157" s="15"/>
      <c r="C157" s="15"/>
      <c r="D157" s="15"/>
      <c r="E157" s="16"/>
    </row>
    <row r="158" spans="2:5" x14ac:dyDescent="0.25">
      <c r="B158" s="15"/>
      <c r="C158" s="15"/>
      <c r="D158" s="15"/>
      <c r="E158" s="16"/>
    </row>
    <row r="159" spans="2:5" x14ac:dyDescent="0.25">
      <c r="B159" s="15"/>
      <c r="C159" s="15"/>
      <c r="D159" s="15"/>
      <c r="E159" s="16"/>
    </row>
    <row r="160" spans="2:5" x14ac:dyDescent="0.25">
      <c r="B160" s="15"/>
      <c r="C160" s="15"/>
      <c r="D160" s="15"/>
      <c r="E160" s="16"/>
    </row>
    <row r="161" spans="2:5" x14ac:dyDescent="0.25">
      <c r="B161" s="15"/>
      <c r="C161" s="15"/>
      <c r="D161" s="15"/>
      <c r="E161" s="16"/>
    </row>
    <row r="162" spans="2:5" x14ac:dyDescent="0.25">
      <c r="B162" s="15"/>
      <c r="C162" s="15"/>
      <c r="D162" s="15"/>
      <c r="E162" s="16"/>
    </row>
    <row r="163" spans="2:5" x14ac:dyDescent="0.25">
      <c r="B163" s="15"/>
      <c r="C163" s="15"/>
      <c r="D163" s="15"/>
      <c r="E163" s="16"/>
    </row>
    <row r="164" spans="2:5" x14ac:dyDescent="0.25">
      <c r="B164" s="15"/>
      <c r="C164" s="15"/>
      <c r="D164" s="15"/>
      <c r="E164" s="16"/>
    </row>
    <row r="165" spans="2:5" x14ac:dyDescent="0.25">
      <c r="B165" s="15"/>
      <c r="C165" s="15"/>
      <c r="D165" s="15"/>
      <c r="E165" s="16"/>
    </row>
    <row r="166" spans="2:5" x14ac:dyDescent="0.25">
      <c r="B166" s="15"/>
      <c r="C166" s="15"/>
      <c r="D166" s="15"/>
      <c r="E166" s="16"/>
    </row>
    <row r="167" spans="2:5" x14ac:dyDescent="0.25">
      <c r="B167" s="15"/>
      <c r="C167" s="15"/>
      <c r="D167" s="15"/>
      <c r="E167" s="16"/>
    </row>
    <row r="168" spans="2:5" x14ac:dyDescent="0.25">
      <c r="B168" s="15"/>
      <c r="C168" s="15"/>
      <c r="D168" s="15"/>
      <c r="E168" s="16"/>
    </row>
    <row r="169" spans="2:5" x14ac:dyDescent="0.25">
      <c r="B169" s="15"/>
      <c r="C169" s="15"/>
      <c r="D169" s="15"/>
      <c r="E169" s="16"/>
    </row>
    <row r="170" spans="2:5" x14ac:dyDescent="0.25">
      <c r="B170" s="15"/>
      <c r="C170" s="15"/>
      <c r="D170" s="15"/>
      <c r="E170" s="16"/>
    </row>
    <row r="171" spans="2:5" x14ac:dyDescent="0.25">
      <c r="B171" s="15"/>
      <c r="C171" s="15"/>
      <c r="D171" s="15"/>
      <c r="E171" s="16"/>
    </row>
    <row r="172" spans="2:5" x14ac:dyDescent="0.25">
      <c r="B172" s="15"/>
      <c r="C172" s="15"/>
      <c r="D172" s="15"/>
      <c r="E172" s="16"/>
    </row>
    <row r="173" spans="2:5" x14ac:dyDescent="0.25">
      <c r="B173" s="15"/>
      <c r="C173" s="15"/>
      <c r="D173" s="15"/>
      <c r="E173" s="16"/>
    </row>
    <row r="174" spans="2:5" x14ac:dyDescent="0.25">
      <c r="B174" s="15"/>
      <c r="C174" s="15"/>
      <c r="D174" s="15"/>
      <c r="E174" s="16"/>
    </row>
    <row r="175" spans="2:5" x14ac:dyDescent="0.25">
      <c r="B175" s="15"/>
      <c r="C175" s="15"/>
      <c r="D175" s="15"/>
      <c r="E175" s="16"/>
    </row>
    <row r="176" spans="2:5" x14ac:dyDescent="0.25">
      <c r="B176" s="15"/>
      <c r="C176" s="15"/>
      <c r="D176" s="15"/>
      <c r="E176" s="16"/>
    </row>
    <row r="177" spans="2:5" x14ac:dyDescent="0.25">
      <c r="B177" s="15"/>
      <c r="C177" s="15"/>
      <c r="D177" s="15"/>
      <c r="E177" s="16"/>
    </row>
    <row r="178" spans="2:5" x14ac:dyDescent="0.25">
      <c r="B178" s="15"/>
      <c r="C178" s="15"/>
      <c r="D178" s="15"/>
      <c r="E178" s="16"/>
    </row>
    <row r="179" spans="2:5" x14ac:dyDescent="0.25">
      <c r="B179" s="15"/>
      <c r="C179" s="15"/>
      <c r="D179" s="15"/>
      <c r="E179" s="16"/>
    </row>
    <row r="180" spans="2:5" x14ac:dyDescent="0.25">
      <c r="B180" s="15"/>
      <c r="C180" s="15"/>
      <c r="D180" s="15"/>
      <c r="E180" s="16"/>
    </row>
    <row r="181" spans="2:5" x14ac:dyDescent="0.25">
      <c r="B181" s="15"/>
      <c r="C181" s="15"/>
      <c r="D181" s="15"/>
      <c r="E181" s="16"/>
    </row>
    <row r="182" spans="2:5" x14ac:dyDescent="0.25">
      <c r="B182" s="15"/>
      <c r="C182" s="15"/>
      <c r="D182" s="15"/>
      <c r="E182" s="16"/>
    </row>
    <row r="183" spans="2:5" x14ac:dyDescent="0.25">
      <c r="B183" s="15"/>
      <c r="C183" s="15"/>
      <c r="D183" s="15"/>
      <c r="E183" s="16"/>
    </row>
    <row r="184" spans="2:5" x14ac:dyDescent="0.25">
      <c r="B184" s="15"/>
      <c r="C184" s="15"/>
      <c r="D184" s="15"/>
      <c r="E184" s="16"/>
    </row>
    <row r="185" spans="2:5" x14ac:dyDescent="0.25">
      <c r="B185" s="15"/>
      <c r="C185" s="15"/>
      <c r="D185" s="15"/>
      <c r="E185" s="16"/>
    </row>
    <row r="186" spans="2:5" x14ac:dyDescent="0.25">
      <c r="B186" s="15"/>
      <c r="C186" s="15"/>
      <c r="D186" s="15"/>
      <c r="E186" s="16"/>
    </row>
    <row r="187" spans="2:5" x14ac:dyDescent="0.25">
      <c r="B187" s="15"/>
      <c r="C187" s="15"/>
      <c r="D187" s="15"/>
      <c r="E187" s="16"/>
    </row>
    <row r="188" spans="2:5" x14ac:dyDescent="0.25">
      <c r="B188" s="15"/>
      <c r="C188" s="15"/>
      <c r="D188" s="15"/>
      <c r="E188" s="16"/>
    </row>
    <row r="189" spans="2:5" x14ac:dyDescent="0.25">
      <c r="B189" s="15"/>
      <c r="C189" s="15"/>
      <c r="D189" s="15"/>
      <c r="E189" s="16"/>
    </row>
    <row r="190" spans="2:5" x14ac:dyDescent="0.25">
      <c r="B190" s="15"/>
      <c r="C190" s="15"/>
      <c r="D190" s="15"/>
      <c r="E190" s="16"/>
    </row>
    <row r="191" spans="2:5" x14ac:dyDescent="0.25">
      <c r="B191" s="15"/>
      <c r="C191" s="15"/>
      <c r="D191" s="15"/>
      <c r="E191" s="16"/>
    </row>
    <row r="192" spans="2:5" x14ac:dyDescent="0.25">
      <c r="B192" s="15"/>
      <c r="C192" s="15"/>
      <c r="D192" s="15"/>
      <c r="E192" s="16"/>
    </row>
    <row r="193" spans="2:5" x14ac:dyDescent="0.25">
      <c r="B193" s="15"/>
      <c r="C193" s="15"/>
      <c r="D193" s="15"/>
      <c r="E193" s="16"/>
    </row>
    <row r="194" spans="2:5" x14ac:dyDescent="0.25">
      <c r="B194" s="15"/>
      <c r="C194" s="15"/>
      <c r="D194" s="15"/>
      <c r="E194" s="16"/>
    </row>
    <row r="195" spans="2:5" x14ac:dyDescent="0.25">
      <c r="B195" s="15"/>
      <c r="C195" s="15"/>
      <c r="D195" s="15"/>
      <c r="E195" s="16"/>
    </row>
    <row r="196" spans="2:5" x14ac:dyDescent="0.25">
      <c r="B196" s="15"/>
      <c r="C196" s="15"/>
      <c r="D196" s="15"/>
      <c r="E196" s="16"/>
    </row>
    <row r="197" spans="2:5" x14ac:dyDescent="0.25">
      <c r="B197" s="15"/>
      <c r="C197" s="15"/>
      <c r="D197" s="15"/>
      <c r="E197" s="16"/>
    </row>
    <row r="198" spans="2:5" x14ac:dyDescent="0.25">
      <c r="B198" s="15"/>
      <c r="C198" s="15"/>
      <c r="D198" s="15"/>
      <c r="E198" s="16"/>
    </row>
    <row r="199" spans="2:5" x14ac:dyDescent="0.25">
      <c r="B199" s="15"/>
      <c r="C199" s="15"/>
      <c r="D199" s="15"/>
      <c r="E199" s="16"/>
    </row>
    <row r="200" spans="2:5" x14ac:dyDescent="0.25">
      <c r="B200" s="15"/>
      <c r="C200" s="15"/>
      <c r="D200" s="15"/>
      <c r="E200" s="16"/>
    </row>
    <row r="201" spans="2:5" x14ac:dyDescent="0.25">
      <c r="B201" s="15"/>
      <c r="C201" s="15"/>
      <c r="D201" s="15"/>
      <c r="E201" s="16"/>
    </row>
    <row r="202" spans="2:5" x14ac:dyDescent="0.25">
      <c r="B202" s="15"/>
      <c r="C202" s="15"/>
      <c r="D202" s="15"/>
      <c r="E202" s="16"/>
    </row>
    <row r="203" spans="2:5" x14ac:dyDescent="0.25">
      <c r="B203" s="15"/>
      <c r="C203" s="15"/>
      <c r="D203" s="15"/>
      <c r="E203" s="16"/>
    </row>
    <row r="204" spans="2:5" x14ac:dyDescent="0.25">
      <c r="B204" s="15"/>
      <c r="C204" s="15"/>
      <c r="D204" s="15"/>
      <c r="E204" s="16"/>
    </row>
    <row r="205" spans="2:5" x14ac:dyDescent="0.25">
      <c r="B205" s="15"/>
      <c r="C205" s="15"/>
      <c r="D205" s="15"/>
      <c r="E205" s="16"/>
    </row>
    <row r="206" spans="2:5" x14ac:dyDescent="0.25">
      <c r="B206" s="15"/>
      <c r="C206" s="15"/>
      <c r="D206" s="15"/>
      <c r="E206" s="16"/>
    </row>
    <row r="207" spans="2:5" x14ac:dyDescent="0.25">
      <c r="B207" s="15"/>
      <c r="C207" s="15"/>
      <c r="D207" s="15"/>
      <c r="E207" s="16"/>
    </row>
    <row r="208" spans="2:5" x14ac:dyDescent="0.25">
      <c r="B208" s="15"/>
      <c r="C208" s="15"/>
      <c r="D208" s="15"/>
      <c r="E208" s="16"/>
    </row>
    <row r="209" spans="2:5" x14ac:dyDescent="0.25">
      <c r="B209" s="15"/>
      <c r="C209" s="15"/>
      <c r="D209" s="15"/>
      <c r="E209" s="16"/>
    </row>
    <row r="210" spans="2:5" x14ac:dyDescent="0.25">
      <c r="B210" s="15"/>
      <c r="C210" s="15"/>
      <c r="D210" s="15"/>
      <c r="E210" s="16"/>
    </row>
    <row r="211" spans="2:5" x14ac:dyDescent="0.25">
      <c r="B211" s="15"/>
      <c r="C211" s="15"/>
      <c r="D211" s="15"/>
      <c r="E211" s="16"/>
    </row>
    <row r="212" spans="2:5" x14ac:dyDescent="0.25">
      <c r="B212" s="15"/>
      <c r="C212" s="15"/>
      <c r="D212" s="15"/>
      <c r="E212" s="16"/>
    </row>
    <row r="213" spans="2:5" x14ac:dyDescent="0.25">
      <c r="B213" s="15"/>
      <c r="C213" s="15"/>
      <c r="D213" s="15"/>
      <c r="E213" s="16"/>
    </row>
    <row r="214" spans="2:5" x14ac:dyDescent="0.25">
      <c r="B214" s="15"/>
      <c r="C214" s="15"/>
      <c r="D214" s="15"/>
      <c r="E214" s="16"/>
    </row>
    <row r="215" spans="2:5" x14ac:dyDescent="0.25">
      <c r="B215" s="15"/>
      <c r="C215" s="15"/>
      <c r="D215" s="15"/>
      <c r="E215" s="16"/>
    </row>
    <row r="216" spans="2:5" x14ac:dyDescent="0.25">
      <c r="B216" s="15"/>
      <c r="C216" s="15"/>
      <c r="D216" s="15"/>
      <c r="E216" s="16"/>
    </row>
    <row r="217" spans="2:5" x14ac:dyDescent="0.25">
      <c r="B217" s="15"/>
      <c r="C217" s="15"/>
      <c r="D217" s="15"/>
      <c r="E217" s="16"/>
    </row>
    <row r="218" spans="2:5" x14ac:dyDescent="0.25">
      <c r="B218" s="15"/>
      <c r="C218" s="15"/>
      <c r="D218" s="15"/>
      <c r="E218" s="16"/>
    </row>
    <row r="219" spans="2:5" x14ac:dyDescent="0.25">
      <c r="B219" s="15"/>
      <c r="C219" s="15"/>
      <c r="D219" s="15"/>
      <c r="E219" s="16"/>
    </row>
    <row r="220" spans="2:5" x14ac:dyDescent="0.25">
      <c r="B220" s="15"/>
      <c r="C220" s="15"/>
      <c r="D220" s="15"/>
      <c r="E220" s="16"/>
    </row>
    <row r="221" spans="2:5" x14ac:dyDescent="0.25">
      <c r="B221" s="15"/>
      <c r="C221" s="15"/>
      <c r="D221" s="15"/>
      <c r="E221" s="16"/>
    </row>
    <row r="222" spans="2:5" x14ac:dyDescent="0.25">
      <c r="B222" s="15"/>
      <c r="C222" s="15"/>
      <c r="D222" s="15"/>
      <c r="E222" s="16"/>
    </row>
    <row r="223" spans="2:5" x14ac:dyDescent="0.25">
      <c r="B223" s="15"/>
      <c r="C223" s="15"/>
      <c r="D223" s="15"/>
      <c r="E223" s="16"/>
    </row>
    <row r="224" spans="2:5" x14ac:dyDescent="0.25">
      <c r="B224" s="15"/>
      <c r="C224" s="15"/>
      <c r="D224" s="15"/>
      <c r="E224" s="16"/>
    </row>
    <row r="225" spans="2:5" x14ac:dyDescent="0.25">
      <c r="B225" s="15"/>
      <c r="C225" s="15"/>
      <c r="D225" s="15"/>
      <c r="E225" s="16"/>
    </row>
    <row r="226" spans="2:5" x14ac:dyDescent="0.25">
      <c r="B226" s="15"/>
      <c r="C226" s="15"/>
      <c r="D226" s="15"/>
      <c r="E226" s="16"/>
    </row>
    <row r="227" spans="2:5" x14ac:dyDescent="0.25">
      <c r="B227" s="15"/>
      <c r="C227" s="15"/>
      <c r="D227" s="15"/>
      <c r="E227" s="16"/>
    </row>
    <row r="228" spans="2:5" x14ac:dyDescent="0.25">
      <c r="B228" s="15"/>
      <c r="C228" s="15"/>
      <c r="D228" s="15"/>
      <c r="E228" s="16"/>
    </row>
    <row r="229" spans="2:5" x14ac:dyDescent="0.25">
      <c r="B229" s="15"/>
      <c r="C229" s="15"/>
      <c r="D229" s="15"/>
      <c r="E229" s="16"/>
    </row>
    <row r="230" spans="2:5" x14ac:dyDescent="0.25">
      <c r="B230" s="15"/>
      <c r="C230" s="15"/>
      <c r="D230" s="15"/>
      <c r="E230" s="16"/>
    </row>
    <row r="231" spans="2:5" x14ac:dyDescent="0.25">
      <c r="B231" s="15"/>
      <c r="C231" s="15"/>
      <c r="D231" s="15"/>
      <c r="E231" s="16"/>
    </row>
    <row r="232" spans="2:5" x14ac:dyDescent="0.25">
      <c r="B232" s="15"/>
      <c r="C232" s="15"/>
      <c r="D232" s="15"/>
      <c r="E232" s="16"/>
    </row>
    <row r="233" spans="2:5" x14ac:dyDescent="0.25">
      <c r="B233" s="15"/>
      <c r="C233" s="15"/>
      <c r="D233" s="15"/>
      <c r="E233" s="16"/>
    </row>
    <row r="234" spans="2:5" x14ac:dyDescent="0.25">
      <c r="B234" s="15"/>
      <c r="C234" s="15"/>
      <c r="D234" s="15"/>
      <c r="E234" s="16"/>
    </row>
    <row r="235" spans="2:5" x14ac:dyDescent="0.25">
      <c r="B235" s="15"/>
      <c r="C235" s="15"/>
      <c r="D235" s="15"/>
      <c r="E235" s="16"/>
    </row>
    <row r="236" spans="2:5" x14ac:dyDescent="0.25">
      <c r="B236" s="15"/>
      <c r="C236" s="15"/>
      <c r="D236" s="15"/>
      <c r="E236" s="16"/>
    </row>
    <row r="237" spans="2:5" x14ac:dyDescent="0.25">
      <c r="B237" s="15"/>
      <c r="C237" s="15"/>
      <c r="D237" s="15"/>
      <c r="E237" s="16"/>
    </row>
    <row r="238" spans="2:5" x14ac:dyDescent="0.25">
      <c r="B238" s="15"/>
      <c r="C238" s="15"/>
      <c r="D238" s="15"/>
      <c r="E238" s="16"/>
    </row>
    <row r="239" spans="2:5" x14ac:dyDescent="0.25">
      <c r="B239" s="15"/>
      <c r="C239" s="15"/>
      <c r="D239" s="15"/>
      <c r="E239" s="16"/>
    </row>
    <row r="240" spans="2:5" x14ac:dyDescent="0.25">
      <c r="B240" s="15"/>
      <c r="C240" s="15"/>
      <c r="D240" s="15"/>
      <c r="E240" s="16"/>
    </row>
    <row r="241" spans="2:5" x14ac:dyDescent="0.25">
      <c r="B241" s="15"/>
      <c r="C241" s="15"/>
      <c r="D241" s="15"/>
      <c r="E241" s="16"/>
    </row>
    <row r="242" spans="2:5" x14ac:dyDescent="0.25">
      <c r="B242" s="15"/>
      <c r="C242" s="15"/>
      <c r="D242" s="15"/>
      <c r="E242" s="16"/>
    </row>
    <row r="243" spans="2:5" x14ac:dyDescent="0.25">
      <c r="B243" s="15"/>
      <c r="C243" s="15"/>
      <c r="D243" s="15"/>
      <c r="E243" s="16"/>
    </row>
    <row r="244" spans="2:5" x14ac:dyDescent="0.25">
      <c r="B244" s="15"/>
      <c r="C244" s="15"/>
      <c r="D244" s="15"/>
      <c r="E244" s="16"/>
    </row>
    <row r="245" spans="2:5" x14ac:dyDescent="0.25">
      <c r="B245" s="15"/>
      <c r="C245" s="15"/>
      <c r="D245" s="15"/>
      <c r="E245" s="16"/>
    </row>
    <row r="246" spans="2:5" x14ac:dyDescent="0.25">
      <c r="B246" s="15"/>
      <c r="C246" s="15"/>
      <c r="D246" s="15"/>
      <c r="E246" s="16"/>
    </row>
    <row r="247" spans="2:5" x14ac:dyDescent="0.25">
      <c r="B247" s="15"/>
      <c r="C247" s="15"/>
      <c r="D247" s="15"/>
      <c r="E247" s="16"/>
    </row>
    <row r="248" spans="2:5" x14ac:dyDescent="0.25">
      <c r="B248" s="15"/>
      <c r="C248" s="15"/>
      <c r="D248" s="15"/>
      <c r="E248" s="16"/>
    </row>
    <row r="249" spans="2:5" x14ac:dyDescent="0.25">
      <c r="B249" s="15"/>
      <c r="C249" s="15"/>
      <c r="D249" s="15"/>
      <c r="E249" s="16"/>
    </row>
    <row r="250" spans="2:5" x14ac:dyDescent="0.25">
      <c r="B250" s="15"/>
      <c r="C250" s="15"/>
      <c r="D250" s="15"/>
      <c r="E250" s="16"/>
    </row>
    <row r="251" spans="2:5" x14ac:dyDescent="0.25">
      <c r="B251" s="15"/>
      <c r="C251" s="15"/>
      <c r="D251" s="15"/>
      <c r="E251" s="16"/>
    </row>
    <row r="252" spans="2:5" x14ac:dyDescent="0.25">
      <c r="B252" s="15"/>
      <c r="C252" s="15"/>
      <c r="D252" s="15"/>
      <c r="E252" s="16"/>
    </row>
    <row r="253" spans="2:5" x14ac:dyDescent="0.25">
      <c r="B253" s="15"/>
      <c r="C253" s="15"/>
      <c r="D253" s="15"/>
      <c r="E253" s="16"/>
    </row>
    <row r="254" spans="2:5" x14ac:dyDescent="0.25">
      <c r="B254" s="15"/>
      <c r="C254" s="15"/>
      <c r="D254" s="15"/>
      <c r="E254" s="16"/>
    </row>
    <row r="255" spans="2:5" x14ac:dyDescent="0.25">
      <c r="B255" s="15"/>
      <c r="C255" s="15"/>
      <c r="D255" s="15"/>
      <c r="E255" s="16"/>
    </row>
    <row r="256" spans="2:5" x14ac:dyDescent="0.25">
      <c r="B256" s="15"/>
      <c r="C256" s="15"/>
      <c r="D256" s="15"/>
      <c r="E256" s="16"/>
    </row>
    <row r="257" spans="2:5" x14ac:dyDescent="0.25">
      <c r="B257" s="15"/>
      <c r="C257" s="15"/>
      <c r="D257" s="15"/>
      <c r="E257" s="16"/>
    </row>
    <row r="258" spans="2:5" x14ac:dyDescent="0.25">
      <c r="B258" s="15"/>
      <c r="C258" s="15"/>
      <c r="D258" s="15"/>
      <c r="E258" s="16"/>
    </row>
    <row r="259" spans="2:5" x14ac:dyDescent="0.25">
      <c r="B259" s="15"/>
      <c r="C259" s="15"/>
      <c r="D259" s="15"/>
      <c r="E259" s="16"/>
    </row>
    <row r="260" spans="2:5" x14ac:dyDescent="0.25">
      <c r="B260" s="15"/>
      <c r="C260" s="15"/>
      <c r="D260" s="15"/>
      <c r="E260" s="16"/>
    </row>
    <row r="261" spans="2:5" x14ac:dyDescent="0.25">
      <c r="B261" s="15"/>
      <c r="C261" s="15"/>
      <c r="D261" s="15"/>
      <c r="E261" s="16"/>
    </row>
    <row r="262" spans="2:5" x14ac:dyDescent="0.25">
      <c r="B262" s="15"/>
      <c r="C262" s="15"/>
      <c r="D262" s="15"/>
      <c r="E262" s="16"/>
    </row>
    <row r="263" spans="2:5" x14ac:dyDescent="0.25">
      <c r="B263" s="15"/>
      <c r="C263" s="15"/>
      <c r="D263" s="15"/>
      <c r="E263" s="16"/>
    </row>
    <row r="264" spans="2:5" x14ac:dyDescent="0.25">
      <c r="B264" s="15"/>
      <c r="C264" s="15"/>
      <c r="D264" s="15"/>
      <c r="E264" s="16"/>
    </row>
    <row r="265" spans="2:5" x14ac:dyDescent="0.25">
      <c r="B265" s="15"/>
      <c r="C265" s="15"/>
      <c r="D265" s="15"/>
      <c r="E265" s="16"/>
    </row>
    <row r="266" spans="2:5" x14ac:dyDescent="0.25">
      <c r="B266" s="15"/>
      <c r="C266" s="15"/>
      <c r="D266" s="15"/>
      <c r="E266" s="16"/>
    </row>
    <row r="267" spans="2:5" x14ac:dyDescent="0.25">
      <c r="B267" s="15"/>
      <c r="C267" s="15"/>
      <c r="D267" s="15"/>
      <c r="E267" s="16"/>
    </row>
    <row r="268" spans="2:5" x14ac:dyDescent="0.25">
      <c r="B268" s="15"/>
      <c r="C268" s="15"/>
      <c r="D268" s="15"/>
      <c r="E268" s="16"/>
    </row>
    <row r="269" spans="2:5" x14ac:dyDescent="0.25">
      <c r="B269" s="15"/>
      <c r="C269" s="15"/>
      <c r="D269" s="15"/>
      <c r="E269" s="16"/>
    </row>
    <row r="270" spans="2:5" x14ac:dyDescent="0.25">
      <c r="B270" s="15"/>
      <c r="C270" s="15"/>
      <c r="D270" s="15"/>
      <c r="E270" s="16"/>
    </row>
    <row r="271" spans="2:5" x14ac:dyDescent="0.25">
      <c r="B271" s="15"/>
      <c r="C271" s="15"/>
      <c r="D271" s="15"/>
      <c r="E271" s="16"/>
    </row>
    <row r="272" spans="2:5" x14ac:dyDescent="0.25">
      <c r="B272" s="15"/>
      <c r="C272" s="15"/>
      <c r="D272" s="15"/>
      <c r="E272" s="16"/>
    </row>
    <row r="273" spans="2:5" x14ac:dyDescent="0.25">
      <c r="B273" s="15"/>
      <c r="C273" s="15"/>
      <c r="D273" s="15"/>
      <c r="E273" s="16"/>
    </row>
    <row r="274" spans="2:5" x14ac:dyDescent="0.25">
      <c r="B274" s="15"/>
      <c r="C274" s="15"/>
      <c r="D274" s="15"/>
      <c r="E274" s="16"/>
    </row>
    <row r="275" spans="2:5" x14ac:dyDescent="0.25">
      <c r="B275" s="15"/>
      <c r="C275" s="15"/>
      <c r="D275" s="15"/>
      <c r="E275" s="16"/>
    </row>
    <row r="276" spans="2:5" x14ac:dyDescent="0.25">
      <c r="B276" s="15"/>
      <c r="C276" s="15"/>
      <c r="D276" s="15"/>
      <c r="E276" s="16"/>
    </row>
    <row r="277" spans="2:5" x14ac:dyDescent="0.25">
      <c r="B277" s="15"/>
      <c r="C277" s="15"/>
      <c r="D277" s="15"/>
      <c r="E277" s="16"/>
    </row>
    <row r="278" spans="2:5" x14ac:dyDescent="0.25">
      <c r="B278" s="15"/>
      <c r="C278" s="15"/>
      <c r="D278" s="15"/>
      <c r="E278" s="16"/>
    </row>
    <row r="279" spans="2:5" x14ac:dyDescent="0.25">
      <c r="B279" s="15"/>
      <c r="C279" s="15"/>
      <c r="D279" s="15"/>
      <c r="E279" s="16"/>
    </row>
    <row r="280" spans="2:5" x14ac:dyDescent="0.25">
      <c r="B280" s="15"/>
      <c r="C280" s="15"/>
      <c r="D280" s="15"/>
      <c r="E280" s="16"/>
    </row>
    <row r="281" spans="2:5" x14ac:dyDescent="0.25">
      <c r="B281" s="15"/>
      <c r="C281" s="15"/>
      <c r="D281" s="15"/>
      <c r="E281" s="16"/>
    </row>
    <row r="282" spans="2:5" x14ac:dyDescent="0.25">
      <c r="B282" s="15"/>
      <c r="C282" s="15"/>
      <c r="D282" s="15"/>
      <c r="E282" s="16"/>
    </row>
    <row r="283" spans="2:5" x14ac:dyDescent="0.25">
      <c r="B283" s="15"/>
      <c r="C283" s="15"/>
      <c r="D283" s="15"/>
      <c r="E283" s="16"/>
    </row>
    <row r="284" spans="2:5" x14ac:dyDescent="0.25">
      <c r="B284" s="15"/>
      <c r="C284" s="15"/>
      <c r="D284" s="15"/>
      <c r="E284" s="16"/>
    </row>
    <row r="285" spans="2:5" x14ac:dyDescent="0.25">
      <c r="B285" s="15"/>
      <c r="C285" s="15"/>
      <c r="D285" s="15"/>
      <c r="E285" s="16"/>
    </row>
    <row r="286" spans="2:5" x14ac:dyDescent="0.25">
      <c r="B286" s="15"/>
      <c r="C286" s="15"/>
      <c r="D286" s="15"/>
      <c r="E286" s="16"/>
    </row>
    <row r="287" spans="2:5" x14ac:dyDescent="0.25">
      <c r="B287" s="15"/>
      <c r="C287" s="15"/>
      <c r="D287" s="15"/>
      <c r="E287" s="16"/>
    </row>
    <row r="288" spans="2:5" x14ac:dyDescent="0.25">
      <c r="B288" s="15"/>
      <c r="C288" s="15"/>
      <c r="D288" s="15"/>
      <c r="E288" s="16"/>
    </row>
    <row r="289" spans="2:5" x14ac:dyDescent="0.25">
      <c r="B289" s="15"/>
      <c r="C289" s="15"/>
      <c r="D289" s="15"/>
      <c r="E289" s="16"/>
    </row>
    <row r="290" spans="2:5" x14ac:dyDescent="0.25">
      <c r="B290" s="15"/>
      <c r="C290" s="15"/>
      <c r="D290" s="15"/>
      <c r="E290" s="16"/>
    </row>
    <row r="291" spans="2:5" x14ac:dyDescent="0.25">
      <c r="B291" s="15"/>
      <c r="C291" s="15"/>
      <c r="D291" s="15"/>
      <c r="E291" s="16"/>
    </row>
    <row r="292" spans="2:5" x14ac:dyDescent="0.25">
      <c r="B292" s="15"/>
      <c r="C292" s="15"/>
      <c r="D292" s="15"/>
      <c r="E292" s="16"/>
    </row>
    <row r="293" spans="2:5" x14ac:dyDescent="0.25">
      <c r="B293" s="15"/>
      <c r="C293" s="15"/>
      <c r="D293" s="15"/>
      <c r="E293" s="16"/>
    </row>
    <row r="294" spans="2:5" x14ac:dyDescent="0.25">
      <c r="B294" s="15"/>
      <c r="C294" s="15"/>
      <c r="D294" s="15"/>
      <c r="E294" s="16"/>
    </row>
    <row r="295" spans="2:5" x14ac:dyDescent="0.25">
      <c r="B295" s="15"/>
      <c r="C295" s="15"/>
      <c r="D295" s="15"/>
      <c r="E295" s="16"/>
    </row>
    <row r="296" spans="2:5" x14ac:dyDescent="0.25">
      <c r="B296" s="15"/>
      <c r="C296" s="15"/>
      <c r="D296" s="15"/>
      <c r="E296" s="16"/>
    </row>
    <row r="297" spans="2:5" x14ac:dyDescent="0.25">
      <c r="B297" s="15"/>
      <c r="C297" s="15"/>
      <c r="D297" s="15"/>
      <c r="E297" s="16"/>
    </row>
    <row r="298" spans="2:5" x14ac:dyDescent="0.25">
      <c r="B298" s="15"/>
      <c r="C298" s="15"/>
      <c r="D298" s="15"/>
      <c r="E298" s="16"/>
    </row>
    <row r="299" spans="2:5" x14ac:dyDescent="0.25">
      <c r="B299" s="15"/>
      <c r="C299" s="15"/>
      <c r="D299" s="15"/>
      <c r="E299" s="16"/>
    </row>
    <row r="300" spans="2:5" x14ac:dyDescent="0.25">
      <c r="B300" s="15"/>
      <c r="C300" s="15"/>
      <c r="D300" s="15"/>
      <c r="E300" s="16"/>
    </row>
    <row r="301" spans="2:5" x14ac:dyDescent="0.25">
      <c r="B301" s="15"/>
      <c r="C301" s="15"/>
      <c r="D301" s="15"/>
      <c r="E301" s="16"/>
    </row>
    <row r="302" spans="2:5" x14ac:dyDescent="0.25">
      <c r="B302" s="15"/>
      <c r="C302" s="15"/>
      <c r="D302" s="15"/>
      <c r="E302" s="16"/>
    </row>
    <row r="303" spans="2:5" x14ac:dyDescent="0.25">
      <c r="B303" s="15"/>
      <c r="C303" s="15"/>
      <c r="D303" s="15"/>
      <c r="E303" s="16"/>
    </row>
    <row r="304" spans="2:5" x14ac:dyDescent="0.25">
      <c r="B304" s="15"/>
      <c r="C304" s="15"/>
      <c r="D304" s="15"/>
      <c r="E304" s="16"/>
    </row>
    <row r="305" spans="2:5" x14ac:dyDescent="0.25">
      <c r="B305" s="15"/>
      <c r="C305" s="15"/>
      <c r="D305" s="15"/>
      <c r="E305" s="16"/>
    </row>
    <row r="306" spans="2:5" x14ac:dyDescent="0.25">
      <c r="B306" s="15"/>
      <c r="C306" s="15"/>
      <c r="D306" s="15"/>
      <c r="E306" s="16"/>
    </row>
    <row r="307" spans="2:5" x14ac:dyDescent="0.25">
      <c r="B307" s="15"/>
      <c r="C307" s="15"/>
      <c r="D307" s="15"/>
      <c r="E307" s="16"/>
    </row>
    <row r="308" spans="2:5" x14ac:dyDescent="0.25">
      <c r="B308" s="15"/>
      <c r="C308" s="15"/>
      <c r="D308" s="15"/>
      <c r="E308" s="16"/>
    </row>
    <row r="309" spans="2:5" x14ac:dyDescent="0.25">
      <c r="B309" s="15"/>
      <c r="C309" s="15"/>
      <c r="D309" s="15"/>
      <c r="E309" s="16"/>
    </row>
    <row r="310" spans="2:5" x14ac:dyDescent="0.25">
      <c r="B310" s="15"/>
      <c r="C310" s="15"/>
      <c r="D310" s="15"/>
      <c r="E310" s="16"/>
    </row>
    <row r="311" spans="2:5" x14ac:dyDescent="0.25">
      <c r="B311" s="15"/>
      <c r="C311" s="15"/>
      <c r="D311" s="15"/>
      <c r="E311" s="16"/>
    </row>
    <row r="312" spans="2:5" x14ac:dyDescent="0.25">
      <c r="B312" s="15"/>
      <c r="C312" s="15"/>
      <c r="D312" s="15"/>
      <c r="E312" s="16"/>
    </row>
    <row r="313" spans="2:5" x14ac:dyDescent="0.25">
      <c r="B313" s="15"/>
      <c r="C313" s="15"/>
      <c r="D313" s="15"/>
      <c r="E313" s="16"/>
    </row>
    <row r="314" spans="2:5" x14ac:dyDescent="0.25">
      <c r="B314" s="15"/>
      <c r="C314" s="15"/>
      <c r="D314" s="15"/>
      <c r="E314" s="16"/>
    </row>
    <row r="315" spans="2:5" x14ac:dyDescent="0.25">
      <c r="B315" s="15"/>
      <c r="C315" s="15"/>
      <c r="D315" s="15"/>
      <c r="E315" s="16"/>
    </row>
    <row r="316" spans="2:5" x14ac:dyDescent="0.25">
      <c r="B316" s="15"/>
      <c r="C316" s="15"/>
      <c r="D316" s="15"/>
      <c r="E316" s="16"/>
    </row>
    <row r="317" spans="2:5" x14ac:dyDescent="0.25">
      <c r="B317" s="15"/>
      <c r="C317" s="15"/>
      <c r="D317" s="15"/>
      <c r="E317" s="16"/>
    </row>
    <row r="318" spans="2:5" x14ac:dyDescent="0.25">
      <c r="B318" s="15"/>
      <c r="C318" s="15"/>
      <c r="D318" s="15"/>
      <c r="E318" s="16"/>
    </row>
    <row r="319" spans="2:5" x14ac:dyDescent="0.25">
      <c r="B319" s="15"/>
      <c r="C319" s="15"/>
      <c r="D319" s="15"/>
      <c r="E319" s="16"/>
    </row>
    <row r="320" spans="2:5" x14ac:dyDescent="0.25">
      <c r="B320" s="15"/>
      <c r="C320" s="15"/>
      <c r="D320" s="15"/>
      <c r="E320" s="16"/>
    </row>
    <row r="321" spans="2:5" x14ac:dyDescent="0.25">
      <c r="B321" s="15"/>
      <c r="C321" s="15"/>
      <c r="D321" s="15"/>
      <c r="E321" s="16"/>
    </row>
    <row r="322" spans="2:5" x14ac:dyDescent="0.25">
      <c r="B322" s="15"/>
      <c r="C322" s="15"/>
      <c r="D322" s="15"/>
      <c r="E322" s="16"/>
    </row>
    <row r="323" spans="2:5" x14ac:dyDescent="0.25">
      <c r="B323" s="15"/>
      <c r="C323" s="15"/>
      <c r="D323" s="15"/>
      <c r="E323" s="16"/>
    </row>
    <row r="324" spans="2:5" x14ac:dyDescent="0.25">
      <c r="B324" s="15"/>
      <c r="C324" s="15"/>
      <c r="D324" s="15"/>
      <c r="E324" s="16"/>
    </row>
    <row r="325" spans="2:5" x14ac:dyDescent="0.25">
      <c r="B325" s="15"/>
      <c r="C325" s="15"/>
      <c r="D325" s="15"/>
      <c r="E325" s="16"/>
    </row>
    <row r="326" spans="2:5" x14ac:dyDescent="0.25">
      <c r="B326" s="15"/>
      <c r="C326" s="15"/>
      <c r="D326" s="15"/>
      <c r="E326" s="16"/>
    </row>
    <row r="327" spans="2:5" x14ac:dyDescent="0.25">
      <c r="B327" s="15"/>
      <c r="C327" s="15"/>
      <c r="D327" s="15"/>
      <c r="E327" s="16"/>
    </row>
    <row r="328" spans="2:5" x14ac:dyDescent="0.25">
      <c r="B328" s="15"/>
      <c r="C328" s="15"/>
      <c r="D328" s="15"/>
      <c r="E328" s="16"/>
    </row>
    <row r="329" spans="2:5" x14ac:dyDescent="0.25">
      <c r="B329" s="15"/>
      <c r="C329" s="15"/>
      <c r="D329" s="15"/>
      <c r="E329" s="16"/>
    </row>
    <row r="330" spans="2:5" x14ac:dyDescent="0.25">
      <c r="B330" s="15"/>
      <c r="C330" s="15"/>
      <c r="D330" s="15"/>
      <c r="E330" s="16"/>
    </row>
    <row r="331" spans="2:5" x14ac:dyDescent="0.25">
      <c r="B331" s="15"/>
      <c r="C331" s="15"/>
      <c r="D331" s="15"/>
      <c r="E331" s="16"/>
    </row>
    <row r="332" spans="2:5" x14ac:dyDescent="0.25">
      <c r="B332" s="15"/>
      <c r="C332" s="15"/>
      <c r="D332" s="15"/>
      <c r="E332" s="16"/>
    </row>
    <row r="333" spans="2:5" x14ac:dyDescent="0.25">
      <c r="B333" s="15"/>
      <c r="C333" s="15"/>
      <c r="D333" s="15"/>
      <c r="E333" s="16"/>
    </row>
    <row r="334" spans="2:5" x14ac:dyDescent="0.25">
      <c r="B334" s="15"/>
      <c r="C334" s="15"/>
      <c r="D334" s="15"/>
      <c r="E334" s="16"/>
    </row>
    <row r="335" spans="2:5" x14ac:dyDescent="0.25">
      <c r="B335" s="15"/>
      <c r="C335" s="15"/>
      <c r="D335" s="15"/>
      <c r="E335" s="16"/>
    </row>
    <row r="336" spans="2:5" x14ac:dyDescent="0.25">
      <c r="B336" s="15"/>
      <c r="C336" s="15"/>
      <c r="D336" s="15"/>
      <c r="E336" s="16"/>
    </row>
    <row r="337" spans="2:5" x14ac:dyDescent="0.25">
      <c r="B337" s="15"/>
      <c r="C337" s="15"/>
      <c r="D337" s="15"/>
      <c r="E337" s="16"/>
    </row>
    <row r="338" spans="2:5" x14ac:dyDescent="0.25">
      <c r="B338" s="15"/>
      <c r="C338" s="15"/>
      <c r="D338" s="15"/>
      <c r="E338" s="16"/>
    </row>
    <row r="339" spans="2:5" x14ac:dyDescent="0.25">
      <c r="B339" s="15"/>
      <c r="C339" s="15"/>
      <c r="D339" s="15"/>
      <c r="E339" s="16"/>
    </row>
    <row r="340" spans="2:5" x14ac:dyDescent="0.25">
      <c r="B340" s="15"/>
      <c r="C340" s="15"/>
      <c r="D340" s="15"/>
      <c r="E340" s="16"/>
    </row>
    <row r="341" spans="2:5" x14ac:dyDescent="0.25">
      <c r="B341" s="15"/>
      <c r="C341" s="15"/>
      <c r="D341" s="15"/>
      <c r="E341" s="16"/>
    </row>
    <row r="342" spans="2:5" x14ac:dyDescent="0.25">
      <c r="B342" s="15"/>
      <c r="C342" s="15"/>
      <c r="D342" s="15"/>
      <c r="E342" s="16"/>
    </row>
    <row r="343" spans="2:5" x14ac:dyDescent="0.25">
      <c r="B343" s="15"/>
      <c r="C343" s="15"/>
      <c r="D343" s="15"/>
      <c r="E343" s="16"/>
    </row>
    <row r="344" spans="2:5" x14ac:dyDescent="0.25">
      <c r="B344" s="15"/>
      <c r="C344" s="15"/>
      <c r="D344" s="15"/>
      <c r="E344" s="16"/>
    </row>
    <row r="345" spans="2:5" x14ac:dyDescent="0.25">
      <c r="B345" s="15"/>
      <c r="C345" s="15"/>
      <c r="D345" s="15"/>
      <c r="E345" s="16"/>
    </row>
    <row r="346" spans="2:5" x14ac:dyDescent="0.25">
      <c r="B346" s="15"/>
      <c r="C346" s="15"/>
      <c r="D346" s="15"/>
      <c r="E346" s="16"/>
    </row>
    <row r="347" spans="2:5" x14ac:dyDescent="0.25">
      <c r="B347" s="15"/>
      <c r="C347" s="15"/>
      <c r="D347" s="15"/>
      <c r="E347" s="16"/>
    </row>
    <row r="348" spans="2:5" x14ac:dyDescent="0.25">
      <c r="B348" s="15"/>
      <c r="C348" s="15"/>
      <c r="D348" s="15"/>
      <c r="E348" s="16"/>
    </row>
    <row r="349" spans="2:5" x14ac:dyDescent="0.25">
      <c r="B349" s="15"/>
      <c r="C349" s="15"/>
      <c r="D349" s="15"/>
      <c r="E349" s="16"/>
    </row>
    <row r="350" spans="2:5" x14ac:dyDescent="0.25">
      <c r="B350" s="15"/>
      <c r="C350" s="15"/>
      <c r="D350" s="15"/>
      <c r="E350" s="16"/>
    </row>
    <row r="351" spans="2:5" x14ac:dyDescent="0.25">
      <c r="B351" s="15"/>
      <c r="C351" s="15"/>
      <c r="D351" s="15"/>
      <c r="E351" s="16"/>
    </row>
    <row r="352" spans="2:5" x14ac:dyDescent="0.25">
      <c r="B352" s="15"/>
      <c r="C352" s="15"/>
      <c r="D352" s="15"/>
      <c r="E352" s="16"/>
    </row>
    <row r="353" spans="2:5" x14ac:dyDescent="0.25">
      <c r="B353" s="15"/>
      <c r="C353" s="15"/>
      <c r="D353" s="15"/>
      <c r="E353" s="16"/>
    </row>
    <row r="354" spans="2:5" x14ac:dyDescent="0.25">
      <c r="B354" s="15"/>
      <c r="C354" s="15"/>
      <c r="D354" s="15"/>
      <c r="E354" s="16"/>
    </row>
    <row r="355" spans="2:5" x14ac:dyDescent="0.25">
      <c r="B355" s="15"/>
      <c r="C355" s="15"/>
      <c r="D355" s="15"/>
      <c r="E355" s="16"/>
    </row>
    <row r="356" spans="2:5" x14ac:dyDescent="0.25">
      <c r="B356" s="15"/>
      <c r="C356" s="15"/>
      <c r="D356" s="15"/>
      <c r="E356" s="16"/>
    </row>
    <row r="357" spans="2:5" x14ac:dyDescent="0.25">
      <c r="B357" s="15"/>
      <c r="C357" s="15"/>
      <c r="D357" s="15"/>
      <c r="E357" s="16"/>
    </row>
    <row r="358" spans="2:5" x14ac:dyDescent="0.25">
      <c r="B358" s="15"/>
      <c r="C358" s="15"/>
      <c r="D358" s="15"/>
      <c r="E358" s="16"/>
    </row>
    <row r="359" spans="2:5" x14ac:dyDescent="0.25">
      <c r="B359" s="15"/>
      <c r="C359" s="15"/>
      <c r="D359" s="15"/>
      <c r="E359" s="16"/>
    </row>
    <row r="360" spans="2:5" x14ac:dyDescent="0.25">
      <c r="B360" s="15"/>
      <c r="C360" s="15"/>
      <c r="D360" s="15"/>
      <c r="E360" s="16"/>
    </row>
    <row r="361" spans="2:5" x14ac:dyDescent="0.25">
      <c r="B361" s="15"/>
      <c r="C361" s="15"/>
      <c r="D361" s="15"/>
      <c r="E361" s="16"/>
    </row>
    <row r="362" spans="2:5" x14ac:dyDescent="0.25">
      <c r="B362" s="15"/>
      <c r="C362" s="15"/>
      <c r="D362" s="15"/>
      <c r="E362" s="16"/>
    </row>
    <row r="363" spans="2:5" x14ac:dyDescent="0.25">
      <c r="B363" s="15"/>
      <c r="C363" s="15"/>
      <c r="D363" s="15"/>
      <c r="E363" s="16"/>
    </row>
    <row r="364" spans="2:5" x14ac:dyDescent="0.25">
      <c r="B364" s="15"/>
      <c r="C364" s="15"/>
      <c r="D364" s="15"/>
      <c r="E364" s="16"/>
    </row>
    <row r="365" spans="2:5" x14ac:dyDescent="0.25">
      <c r="B365" s="15"/>
      <c r="C365" s="15"/>
      <c r="D365" s="15"/>
      <c r="E365" s="16"/>
    </row>
    <row r="366" spans="2:5" x14ac:dyDescent="0.25">
      <c r="B366" s="15"/>
      <c r="C366" s="15"/>
      <c r="D366" s="15"/>
      <c r="E366" s="16"/>
    </row>
    <row r="367" spans="2:5" x14ac:dyDescent="0.25">
      <c r="B367" s="15"/>
      <c r="C367" s="15"/>
      <c r="D367" s="15"/>
      <c r="E367" s="16"/>
    </row>
    <row r="368" spans="2:5" x14ac:dyDescent="0.25">
      <c r="B368" s="15"/>
      <c r="C368" s="15"/>
      <c r="D368" s="15"/>
      <c r="E368" s="16"/>
    </row>
    <row r="369" spans="2:5" x14ac:dyDescent="0.25">
      <c r="B369" s="15"/>
      <c r="C369" s="15"/>
      <c r="D369" s="15"/>
      <c r="E369" s="16"/>
    </row>
    <row r="370" spans="2:5" x14ac:dyDescent="0.25">
      <c r="B370" s="15"/>
      <c r="C370" s="15"/>
      <c r="D370" s="15"/>
      <c r="E370" s="16"/>
    </row>
    <row r="371" spans="2:5" x14ac:dyDescent="0.25">
      <c r="B371" s="15"/>
      <c r="C371" s="15"/>
      <c r="D371" s="15"/>
      <c r="E371" s="16"/>
    </row>
    <row r="372" spans="2:5" x14ac:dyDescent="0.25">
      <c r="B372" s="15"/>
      <c r="C372" s="15"/>
      <c r="D372" s="15"/>
      <c r="E372" s="16"/>
    </row>
    <row r="373" spans="2:5" x14ac:dyDescent="0.25">
      <c r="B373" s="15"/>
      <c r="C373" s="15"/>
      <c r="D373" s="15"/>
      <c r="E373" s="16"/>
    </row>
    <row r="374" spans="2:5" x14ac:dyDescent="0.25">
      <c r="B374" s="15"/>
      <c r="C374" s="15"/>
      <c r="D374" s="15"/>
      <c r="E374" s="16"/>
    </row>
    <row r="375" spans="2:5" x14ac:dyDescent="0.25">
      <c r="B375" s="15"/>
      <c r="C375" s="15"/>
      <c r="D375" s="15"/>
      <c r="E375" s="16"/>
    </row>
    <row r="376" spans="2:5" x14ac:dyDescent="0.25">
      <c r="B376" s="15"/>
      <c r="C376" s="15"/>
      <c r="D376" s="15"/>
      <c r="E376" s="16"/>
    </row>
    <row r="377" spans="2:5" x14ac:dyDescent="0.25">
      <c r="B377" s="15"/>
      <c r="C377" s="15"/>
      <c r="D377" s="15"/>
      <c r="E377" s="16"/>
    </row>
    <row r="378" spans="2:5" x14ac:dyDescent="0.25">
      <c r="B378" s="15"/>
      <c r="C378" s="15"/>
      <c r="D378" s="15"/>
      <c r="E378" s="16"/>
    </row>
    <row r="379" spans="2:5" x14ac:dyDescent="0.25">
      <c r="B379" s="15"/>
      <c r="C379" s="15"/>
      <c r="D379" s="15"/>
      <c r="E379" s="16"/>
    </row>
    <row r="380" spans="2:5" x14ac:dyDescent="0.25">
      <c r="B380" s="15"/>
      <c r="C380" s="15"/>
      <c r="D380" s="15"/>
      <c r="E380" s="16"/>
    </row>
    <row r="381" spans="2:5" x14ac:dyDescent="0.25">
      <c r="B381" s="15"/>
      <c r="C381" s="15"/>
      <c r="D381" s="15"/>
      <c r="E381" s="16"/>
    </row>
    <row r="382" spans="2:5" x14ac:dyDescent="0.25">
      <c r="B382" s="15"/>
      <c r="C382" s="15"/>
      <c r="D382" s="15"/>
      <c r="E382" s="16"/>
    </row>
    <row r="383" spans="2:5" x14ac:dyDescent="0.25">
      <c r="B383" s="15"/>
      <c r="C383" s="15"/>
      <c r="D383" s="15"/>
      <c r="E383" s="16"/>
    </row>
    <row r="384" spans="2:5" x14ac:dyDescent="0.25">
      <c r="B384" s="15"/>
      <c r="C384" s="15"/>
      <c r="D384" s="15"/>
      <c r="E384" s="16"/>
    </row>
    <row r="385" spans="2:5" x14ac:dyDescent="0.25">
      <c r="B385" s="15"/>
      <c r="C385" s="15"/>
      <c r="D385" s="15"/>
      <c r="E385" s="16"/>
    </row>
    <row r="386" spans="2:5" x14ac:dyDescent="0.25">
      <c r="B386" s="15"/>
      <c r="C386" s="15"/>
      <c r="D386" s="15"/>
      <c r="E386" s="16"/>
    </row>
    <row r="387" spans="2:5" x14ac:dyDescent="0.25">
      <c r="B387" s="15"/>
      <c r="C387" s="15"/>
      <c r="D387" s="15"/>
      <c r="E387" s="16"/>
    </row>
    <row r="388" spans="2:5" x14ac:dyDescent="0.25">
      <c r="B388" s="15"/>
      <c r="C388" s="15"/>
      <c r="D388" s="15"/>
      <c r="E388" s="16"/>
    </row>
    <row r="389" spans="2:5" x14ac:dyDescent="0.25">
      <c r="B389" s="15"/>
      <c r="C389" s="15"/>
      <c r="D389" s="15"/>
      <c r="E389" s="16"/>
    </row>
    <row r="390" spans="2:5" x14ac:dyDescent="0.25">
      <c r="B390" s="15"/>
      <c r="C390" s="15"/>
      <c r="D390" s="15"/>
      <c r="E390" s="16"/>
    </row>
    <row r="391" spans="2:5" x14ac:dyDescent="0.25">
      <c r="B391" s="15"/>
      <c r="C391" s="15"/>
      <c r="D391" s="15"/>
      <c r="E391" s="16"/>
    </row>
    <row r="392" spans="2:5" x14ac:dyDescent="0.25">
      <c r="B392" s="15"/>
      <c r="C392" s="15"/>
      <c r="D392" s="15"/>
      <c r="E392" s="16"/>
    </row>
    <row r="393" spans="2:5" x14ac:dyDescent="0.25">
      <c r="B393" s="15"/>
      <c r="C393" s="15"/>
      <c r="D393" s="15"/>
      <c r="E393" s="16"/>
    </row>
    <row r="394" spans="2:5" x14ac:dyDescent="0.25">
      <c r="B394" s="15"/>
      <c r="C394" s="15"/>
      <c r="D394" s="15"/>
      <c r="E394" s="16"/>
    </row>
    <row r="395" spans="2:5" x14ac:dyDescent="0.25">
      <c r="B395" s="15"/>
      <c r="C395" s="15"/>
      <c r="D395" s="15"/>
      <c r="E395" s="16"/>
    </row>
    <row r="396" spans="2:5" x14ac:dyDescent="0.25">
      <c r="B396" s="15"/>
      <c r="C396" s="15"/>
      <c r="D396" s="15"/>
      <c r="E396" s="16"/>
    </row>
    <row r="397" spans="2:5" x14ac:dyDescent="0.25">
      <c r="B397" s="15"/>
      <c r="C397" s="15"/>
      <c r="D397" s="15"/>
      <c r="E397" s="16"/>
    </row>
    <row r="398" spans="2:5" x14ac:dyDescent="0.25">
      <c r="B398" s="15"/>
      <c r="C398" s="15"/>
      <c r="D398" s="15"/>
      <c r="E398" s="16"/>
    </row>
    <row r="399" spans="2:5" x14ac:dyDescent="0.25">
      <c r="B399" s="15"/>
      <c r="C399" s="15"/>
      <c r="D399" s="15"/>
      <c r="E399" s="16"/>
    </row>
    <row r="400" spans="2:5" x14ac:dyDescent="0.25">
      <c r="B400" s="15"/>
      <c r="C400" s="15"/>
      <c r="D400" s="15"/>
      <c r="E400" s="16"/>
    </row>
    <row r="401" spans="2:5" x14ac:dyDescent="0.25">
      <c r="B401" s="15"/>
      <c r="C401" s="15"/>
      <c r="D401" s="15"/>
      <c r="E401" s="16"/>
    </row>
    <row r="402" spans="2:5" x14ac:dyDescent="0.25">
      <c r="B402" s="15"/>
      <c r="C402" s="15"/>
      <c r="D402" s="15"/>
      <c r="E402" s="16"/>
    </row>
    <row r="403" spans="2:5" x14ac:dyDescent="0.25">
      <c r="B403" s="15"/>
      <c r="C403" s="15"/>
      <c r="D403" s="15"/>
      <c r="E403" s="16"/>
    </row>
    <row r="404" spans="2:5" x14ac:dyDescent="0.25">
      <c r="B404" s="15"/>
      <c r="C404" s="15"/>
      <c r="D404" s="15"/>
      <c r="E404" s="16"/>
    </row>
    <row r="405" spans="2:5" x14ac:dyDescent="0.25">
      <c r="B405" s="15"/>
      <c r="C405" s="15"/>
      <c r="D405" s="15"/>
      <c r="E405" s="16"/>
    </row>
    <row r="406" spans="2:5" x14ac:dyDescent="0.25">
      <c r="B406" s="15"/>
      <c r="C406" s="15"/>
      <c r="D406" s="15"/>
      <c r="E406" s="16"/>
    </row>
    <row r="407" spans="2:5" x14ac:dyDescent="0.25">
      <c r="B407" s="15"/>
      <c r="C407" s="15"/>
      <c r="D407" s="15"/>
      <c r="E407" s="16"/>
    </row>
    <row r="408" spans="2:5" x14ac:dyDescent="0.25">
      <c r="B408" s="15"/>
      <c r="C408" s="15"/>
      <c r="D408" s="15"/>
      <c r="E408" s="16"/>
    </row>
    <row r="409" spans="2:5" x14ac:dyDescent="0.25">
      <c r="B409" s="15"/>
      <c r="C409" s="15"/>
      <c r="D409" s="15"/>
      <c r="E409" s="16"/>
    </row>
    <row r="410" spans="2:5" x14ac:dyDescent="0.25">
      <c r="B410" s="15"/>
      <c r="C410" s="15"/>
      <c r="D410" s="15"/>
      <c r="E410" s="16"/>
    </row>
    <row r="411" spans="2:5" x14ac:dyDescent="0.25">
      <c r="B411" s="15"/>
      <c r="C411" s="15"/>
      <c r="D411" s="15"/>
      <c r="E411" s="16"/>
    </row>
    <row r="412" spans="2:5" x14ac:dyDescent="0.25">
      <c r="B412" s="15"/>
      <c r="C412" s="15"/>
      <c r="D412" s="15"/>
      <c r="E412" s="16"/>
    </row>
    <row r="413" spans="2:5" x14ac:dyDescent="0.25">
      <c r="B413" s="15"/>
      <c r="C413" s="15"/>
      <c r="D413" s="15"/>
      <c r="E413" s="16"/>
    </row>
    <row r="414" spans="2:5" x14ac:dyDescent="0.25">
      <c r="B414" s="15"/>
      <c r="C414" s="15"/>
      <c r="D414" s="15"/>
      <c r="E414" s="16"/>
    </row>
    <row r="415" spans="2:5" x14ac:dyDescent="0.25">
      <c r="B415" s="15"/>
      <c r="C415" s="15"/>
      <c r="D415" s="15"/>
      <c r="E415" s="16"/>
    </row>
    <row r="416" spans="2:5" x14ac:dyDescent="0.25">
      <c r="B416" s="15"/>
      <c r="C416" s="15"/>
      <c r="D416" s="15"/>
      <c r="E416" s="16"/>
    </row>
    <row r="417" spans="2:5" x14ac:dyDescent="0.25">
      <c r="B417" s="15"/>
      <c r="C417" s="15"/>
      <c r="D417" s="15"/>
      <c r="E417" s="16"/>
    </row>
    <row r="418" spans="2:5" x14ac:dyDescent="0.25">
      <c r="B418" s="15"/>
      <c r="C418" s="15"/>
      <c r="D418" s="15"/>
      <c r="E418" s="16"/>
    </row>
    <row r="419" spans="2:5" x14ac:dyDescent="0.25">
      <c r="B419" s="15"/>
      <c r="C419" s="15"/>
      <c r="D419" s="15"/>
      <c r="E419" s="16"/>
    </row>
    <row r="420" spans="2:5" x14ac:dyDescent="0.25">
      <c r="B420" s="15"/>
      <c r="C420" s="15"/>
      <c r="D420" s="15"/>
      <c r="E420" s="16"/>
    </row>
    <row r="421" spans="2:5" x14ac:dyDescent="0.25">
      <c r="B421" s="15"/>
      <c r="C421" s="15"/>
      <c r="D421" s="15"/>
      <c r="E421" s="16"/>
    </row>
    <row r="422" spans="2:5" x14ac:dyDescent="0.25">
      <c r="B422" s="15"/>
      <c r="C422" s="15"/>
      <c r="D422" s="15"/>
      <c r="E422" s="16"/>
    </row>
    <row r="423" spans="2:5" x14ac:dyDescent="0.25">
      <c r="B423" s="15"/>
      <c r="C423" s="15"/>
      <c r="D423" s="15"/>
      <c r="E423" s="16"/>
    </row>
    <row r="424" spans="2:5" x14ac:dyDescent="0.25">
      <c r="B424" s="15"/>
      <c r="C424" s="15"/>
      <c r="D424" s="15"/>
      <c r="E424" s="16"/>
    </row>
    <row r="425" spans="2:5" x14ac:dyDescent="0.25">
      <c r="B425" s="15"/>
      <c r="C425" s="15"/>
      <c r="D425" s="15"/>
      <c r="E425" s="16"/>
    </row>
    <row r="426" spans="2:5" x14ac:dyDescent="0.25">
      <c r="B426" s="15"/>
      <c r="C426" s="15"/>
      <c r="D426" s="15"/>
      <c r="E426" s="16"/>
    </row>
    <row r="427" spans="2:5" x14ac:dyDescent="0.25">
      <c r="B427" s="15"/>
      <c r="C427" s="15"/>
      <c r="D427" s="15"/>
      <c r="E427" s="16"/>
    </row>
    <row r="428" spans="2:5" x14ac:dyDescent="0.25">
      <c r="B428" s="15"/>
      <c r="C428" s="15"/>
      <c r="D428" s="15"/>
      <c r="E428" s="16"/>
    </row>
    <row r="429" spans="2:5" x14ac:dyDescent="0.25">
      <c r="B429" s="15"/>
      <c r="C429" s="15"/>
      <c r="D429" s="15"/>
      <c r="E429" s="16"/>
    </row>
    <row r="430" spans="2:5" x14ac:dyDescent="0.25">
      <c r="B430" s="15"/>
      <c r="C430" s="15"/>
      <c r="D430" s="15"/>
      <c r="E430" s="16"/>
    </row>
    <row r="431" spans="2:5" x14ac:dyDescent="0.25">
      <c r="B431" s="15"/>
      <c r="C431" s="15"/>
      <c r="D431" s="15"/>
      <c r="E431" s="16"/>
    </row>
    <row r="432" spans="2:5" x14ac:dyDescent="0.25">
      <c r="B432" s="15"/>
      <c r="C432" s="15"/>
      <c r="D432" s="15"/>
      <c r="E432" s="16"/>
    </row>
    <row r="433" spans="2:5" x14ac:dyDescent="0.25">
      <c r="B433" s="15"/>
      <c r="C433" s="15"/>
      <c r="D433" s="15"/>
      <c r="E433" s="16"/>
    </row>
    <row r="434" spans="2:5" x14ac:dyDescent="0.25">
      <c r="B434" s="15"/>
      <c r="C434" s="15"/>
      <c r="D434" s="15"/>
      <c r="E434" s="16"/>
    </row>
    <row r="435" spans="2:5" x14ac:dyDescent="0.25">
      <c r="B435" s="15"/>
      <c r="C435" s="15"/>
      <c r="D435" s="15"/>
      <c r="E435" s="16"/>
    </row>
    <row r="436" spans="2:5" x14ac:dyDescent="0.25">
      <c r="B436" s="15"/>
      <c r="C436" s="15"/>
      <c r="D436" s="15"/>
      <c r="E436" s="16"/>
    </row>
    <row r="437" spans="2:5" x14ac:dyDescent="0.25">
      <c r="B437" s="15"/>
      <c r="C437" s="15"/>
      <c r="D437" s="15"/>
      <c r="E437" s="16"/>
    </row>
    <row r="438" spans="2:5" x14ac:dyDescent="0.25">
      <c r="B438" s="15"/>
      <c r="C438" s="15"/>
      <c r="D438" s="15"/>
      <c r="E438" s="16"/>
    </row>
    <row r="439" spans="2:5" x14ac:dyDescent="0.25">
      <c r="B439" s="15"/>
      <c r="C439" s="15"/>
      <c r="D439" s="15"/>
      <c r="E439" s="16"/>
    </row>
    <row r="440" spans="2:5" x14ac:dyDescent="0.25">
      <c r="B440" s="15"/>
      <c r="C440" s="15"/>
      <c r="D440" s="15"/>
      <c r="E440" s="16"/>
    </row>
    <row r="441" spans="2:5" x14ac:dyDescent="0.25">
      <c r="B441" s="15"/>
      <c r="C441" s="15"/>
      <c r="D441" s="15"/>
      <c r="E441" s="16"/>
    </row>
    <row r="442" spans="2:5" x14ac:dyDescent="0.25">
      <c r="B442" s="15"/>
      <c r="C442" s="15"/>
      <c r="D442" s="15"/>
      <c r="E442" s="16"/>
    </row>
    <row r="443" spans="2:5" x14ac:dyDescent="0.25">
      <c r="B443" s="15"/>
      <c r="C443" s="15"/>
      <c r="D443" s="15"/>
      <c r="E443" s="16"/>
    </row>
    <row r="444" spans="2:5" x14ac:dyDescent="0.25">
      <c r="B444" s="15"/>
      <c r="C444" s="15"/>
      <c r="D444" s="15"/>
      <c r="E444" s="16"/>
    </row>
    <row r="445" spans="2:5" x14ac:dyDescent="0.25">
      <c r="B445" s="15"/>
      <c r="C445" s="15"/>
      <c r="D445" s="15"/>
      <c r="E445" s="16"/>
    </row>
    <row r="446" spans="2:5" x14ac:dyDescent="0.25">
      <c r="B446" s="15"/>
      <c r="C446" s="15"/>
      <c r="D446" s="15"/>
      <c r="E446" s="16"/>
    </row>
    <row r="447" spans="2:5" x14ac:dyDescent="0.25">
      <c r="B447" s="15"/>
      <c r="C447" s="15"/>
      <c r="D447" s="15"/>
      <c r="E447" s="16"/>
    </row>
    <row r="448" spans="2:5" x14ac:dyDescent="0.25">
      <c r="B448" s="15"/>
      <c r="C448" s="15"/>
      <c r="D448" s="15"/>
      <c r="E448" s="16"/>
    </row>
    <row r="449" spans="2:5" x14ac:dyDescent="0.25">
      <c r="B449" s="15"/>
      <c r="C449" s="15"/>
      <c r="D449" s="15"/>
      <c r="E449" s="16"/>
    </row>
    <row r="450" spans="2:5" x14ac:dyDescent="0.25">
      <c r="B450" s="15"/>
      <c r="C450" s="15"/>
      <c r="D450" s="15"/>
      <c r="E450" s="16"/>
    </row>
    <row r="451" spans="2:5" x14ac:dyDescent="0.25">
      <c r="B451" s="15"/>
      <c r="C451" s="15"/>
      <c r="D451" s="15"/>
      <c r="E451" s="16"/>
    </row>
    <row r="452" spans="2:5" x14ac:dyDescent="0.25">
      <c r="B452" s="15"/>
      <c r="C452" s="15"/>
      <c r="D452" s="15"/>
      <c r="E452" s="16"/>
    </row>
    <row r="453" spans="2:5" x14ac:dyDescent="0.25">
      <c r="B453" s="15"/>
      <c r="C453" s="15"/>
      <c r="D453" s="15"/>
      <c r="E453" s="16"/>
    </row>
    <row r="454" spans="2:5" x14ac:dyDescent="0.25">
      <c r="B454" s="15"/>
      <c r="C454" s="15"/>
      <c r="D454" s="15"/>
      <c r="E454" s="16"/>
    </row>
    <row r="455" spans="2:5" x14ac:dyDescent="0.25">
      <c r="B455" s="15"/>
      <c r="C455" s="15"/>
      <c r="D455" s="15"/>
      <c r="E455" s="16"/>
    </row>
    <row r="456" spans="2:5" x14ac:dyDescent="0.25">
      <c r="B456" s="15"/>
      <c r="C456" s="15"/>
      <c r="D456" s="15"/>
      <c r="E456" s="16"/>
    </row>
    <row r="457" spans="2:5" x14ac:dyDescent="0.25">
      <c r="B457" s="15"/>
      <c r="C457" s="15"/>
      <c r="D457" s="15"/>
      <c r="E457" s="16"/>
    </row>
    <row r="458" spans="2:5" x14ac:dyDescent="0.25">
      <c r="B458" s="15"/>
      <c r="C458" s="15"/>
      <c r="D458" s="15"/>
      <c r="E458" s="16"/>
    </row>
    <row r="459" spans="2:5" x14ac:dyDescent="0.25">
      <c r="B459" s="15"/>
      <c r="C459" s="15"/>
      <c r="D459" s="15"/>
      <c r="E459" s="16"/>
    </row>
    <row r="460" spans="2:5" x14ac:dyDescent="0.25">
      <c r="B460" s="15"/>
      <c r="C460" s="15"/>
      <c r="D460" s="15"/>
      <c r="E460" s="16"/>
    </row>
    <row r="461" spans="2:5" x14ac:dyDescent="0.25">
      <c r="B461" s="15"/>
      <c r="C461" s="15"/>
      <c r="D461" s="15"/>
      <c r="E461" s="16"/>
    </row>
    <row r="462" spans="2:5" x14ac:dyDescent="0.25">
      <c r="B462" s="15"/>
      <c r="C462" s="15"/>
      <c r="D462" s="15"/>
      <c r="E462" s="16"/>
    </row>
    <row r="463" spans="2:5" x14ac:dyDescent="0.25">
      <c r="B463" s="15"/>
      <c r="C463" s="15"/>
      <c r="D463" s="15"/>
      <c r="E463" s="16"/>
    </row>
    <row r="464" spans="2:5" x14ac:dyDescent="0.25">
      <c r="B464" s="15"/>
      <c r="C464" s="15"/>
      <c r="D464" s="15"/>
      <c r="E464" s="16"/>
    </row>
    <row r="465" spans="2:5" x14ac:dyDescent="0.25">
      <c r="B465" s="15"/>
      <c r="C465" s="15"/>
      <c r="D465" s="15"/>
      <c r="E465" s="16"/>
    </row>
    <row r="466" spans="2:5" x14ac:dyDescent="0.25">
      <c r="B466" s="15"/>
      <c r="C466" s="15"/>
      <c r="D466" s="15"/>
      <c r="E466" s="16"/>
    </row>
    <row r="467" spans="2:5" x14ac:dyDescent="0.25">
      <c r="B467" s="15"/>
      <c r="C467" s="15"/>
      <c r="D467" s="15"/>
      <c r="E467" s="16"/>
    </row>
    <row r="468" spans="2:5" x14ac:dyDescent="0.25">
      <c r="B468" s="15"/>
      <c r="C468" s="15"/>
      <c r="D468" s="15"/>
      <c r="E468" s="16"/>
    </row>
    <row r="469" spans="2:5" x14ac:dyDescent="0.25">
      <c r="B469" s="15"/>
      <c r="C469" s="15"/>
      <c r="D469" s="15"/>
      <c r="E469" s="16"/>
    </row>
    <row r="470" spans="2:5" x14ac:dyDescent="0.25">
      <c r="B470" s="15"/>
      <c r="C470" s="15"/>
      <c r="D470" s="15"/>
      <c r="E470" s="16"/>
    </row>
    <row r="471" spans="2:5" x14ac:dyDescent="0.25">
      <c r="B471" s="15"/>
      <c r="C471" s="15"/>
      <c r="D471" s="15"/>
      <c r="E471" s="16"/>
    </row>
    <row r="472" spans="2:5" x14ac:dyDescent="0.25">
      <c r="B472" s="15"/>
      <c r="C472" s="15"/>
      <c r="D472" s="15"/>
      <c r="E472" s="16"/>
    </row>
    <row r="473" spans="2:5" x14ac:dyDescent="0.25">
      <c r="B473" s="15"/>
      <c r="C473" s="15"/>
      <c r="D473" s="15"/>
      <c r="E473" s="16"/>
    </row>
    <row r="474" spans="2:5" x14ac:dyDescent="0.25">
      <c r="B474" s="15"/>
      <c r="C474" s="15"/>
      <c r="D474" s="15"/>
      <c r="E474" s="16"/>
    </row>
    <row r="475" spans="2:5" x14ac:dyDescent="0.25">
      <c r="B475" s="15"/>
      <c r="C475" s="15"/>
      <c r="D475" s="15"/>
      <c r="E475" s="16"/>
    </row>
    <row r="476" spans="2:5" x14ac:dyDescent="0.25">
      <c r="B476" s="15"/>
      <c r="C476" s="15"/>
      <c r="D476" s="15"/>
      <c r="E476" s="16"/>
    </row>
    <row r="477" spans="2:5" x14ac:dyDescent="0.25">
      <c r="B477" s="15"/>
      <c r="C477" s="15"/>
      <c r="D477" s="15"/>
      <c r="E477" s="16"/>
    </row>
    <row r="478" spans="2:5" x14ac:dyDescent="0.25">
      <c r="B478" s="15"/>
      <c r="C478" s="15"/>
      <c r="D478" s="15"/>
      <c r="E478" s="16"/>
    </row>
    <row r="479" spans="2:5" x14ac:dyDescent="0.25">
      <c r="B479" s="15"/>
      <c r="C479" s="15"/>
      <c r="D479" s="15"/>
      <c r="E479" s="16"/>
    </row>
    <row r="480" spans="2:5" x14ac:dyDescent="0.25">
      <c r="B480" s="15"/>
      <c r="C480" s="15"/>
      <c r="D480" s="15"/>
      <c r="E480" s="16"/>
    </row>
    <row r="481" spans="2:5" x14ac:dyDescent="0.25">
      <c r="B481" s="15"/>
      <c r="C481" s="15"/>
      <c r="D481" s="15"/>
      <c r="E481" s="16"/>
    </row>
    <row r="482" spans="2:5" x14ac:dyDescent="0.25">
      <c r="B482" s="15"/>
      <c r="C482" s="15"/>
      <c r="D482" s="15"/>
      <c r="E482" s="16"/>
    </row>
    <row r="483" spans="2:5" x14ac:dyDescent="0.25">
      <c r="B483" s="15"/>
      <c r="C483" s="15"/>
      <c r="D483" s="15"/>
      <c r="E483" s="16"/>
    </row>
    <row r="484" spans="2:5" x14ac:dyDescent="0.25">
      <c r="B484" s="15"/>
      <c r="C484" s="15"/>
      <c r="D484" s="15"/>
      <c r="E484" s="16"/>
    </row>
    <row r="485" spans="2:5" x14ac:dyDescent="0.25">
      <c r="B485" s="15"/>
      <c r="C485" s="15"/>
      <c r="D485" s="15"/>
      <c r="E485" s="16"/>
    </row>
    <row r="486" spans="2:5" x14ac:dyDescent="0.25">
      <c r="B486" s="15"/>
      <c r="C486" s="15"/>
      <c r="D486" s="15"/>
      <c r="E486" s="16"/>
    </row>
    <row r="487" spans="2:5" x14ac:dyDescent="0.25">
      <c r="B487" s="15"/>
      <c r="C487" s="15"/>
      <c r="D487" s="15"/>
      <c r="E487" s="16"/>
    </row>
    <row r="488" spans="2:5" x14ac:dyDescent="0.25">
      <c r="B488" s="15"/>
      <c r="C488" s="15"/>
      <c r="D488" s="15"/>
      <c r="E488" s="16"/>
    </row>
    <row r="489" spans="2:5" x14ac:dyDescent="0.25">
      <c r="B489" s="15"/>
      <c r="C489" s="15"/>
      <c r="D489" s="15"/>
      <c r="E489" s="16"/>
    </row>
    <row r="490" spans="2:5" x14ac:dyDescent="0.25">
      <c r="B490" s="15"/>
      <c r="C490" s="15"/>
      <c r="D490" s="15"/>
      <c r="E490" s="16"/>
    </row>
    <row r="491" spans="2:5" x14ac:dyDescent="0.25">
      <c r="B491" s="15"/>
      <c r="C491" s="15"/>
      <c r="D491" s="15"/>
      <c r="E491" s="16"/>
    </row>
    <row r="492" spans="2:5" x14ac:dyDescent="0.25">
      <c r="B492" s="15"/>
      <c r="C492" s="15"/>
      <c r="D492" s="15"/>
      <c r="E492" s="16"/>
    </row>
    <row r="493" spans="2:5" x14ac:dyDescent="0.25">
      <c r="B493" s="15"/>
      <c r="C493" s="15"/>
      <c r="D493" s="15"/>
      <c r="E493" s="16"/>
    </row>
    <row r="494" spans="2:5" x14ac:dyDescent="0.25">
      <c r="B494" s="15"/>
      <c r="C494" s="15"/>
      <c r="D494" s="15"/>
      <c r="E494" s="16"/>
    </row>
    <row r="495" spans="2:5" x14ac:dyDescent="0.25">
      <c r="B495" s="15"/>
      <c r="C495" s="15"/>
      <c r="D495" s="15"/>
      <c r="E495" s="16"/>
    </row>
    <row r="496" spans="2:5" x14ac:dyDescent="0.25">
      <c r="B496" s="15"/>
      <c r="C496" s="15"/>
      <c r="D496" s="15"/>
      <c r="E496" s="16"/>
    </row>
    <row r="497" spans="2:5" x14ac:dyDescent="0.25">
      <c r="B497" s="15"/>
      <c r="C497" s="15"/>
      <c r="D497" s="15"/>
      <c r="E497" s="16"/>
    </row>
    <row r="498" spans="2:5" x14ac:dyDescent="0.25">
      <c r="B498" s="15"/>
      <c r="C498" s="15"/>
      <c r="D498" s="15"/>
      <c r="E498" s="16"/>
    </row>
    <row r="499" spans="2:5" x14ac:dyDescent="0.25">
      <c r="B499" s="15"/>
      <c r="C499" s="15"/>
      <c r="D499" s="15"/>
      <c r="E499" s="16"/>
    </row>
    <row r="500" spans="2:5" x14ac:dyDescent="0.25">
      <c r="B500" s="15"/>
      <c r="C500" s="15"/>
      <c r="D500" s="15"/>
      <c r="E500" s="16"/>
    </row>
    <row r="501" spans="2:5" x14ac:dyDescent="0.25">
      <c r="B501" s="15"/>
      <c r="C501" s="15"/>
      <c r="D501" s="15"/>
      <c r="E501" s="16"/>
    </row>
    <row r="502" spans="2:5" x14ac:dyDescent="0.25">
      <c r="B502" s="15"/>
      <c r="C502" s="15"/>
      <c r="D502" s="15"/>
      <c r="E502" s="16"/>
    </row>
    <row r="503" spans="2:5" x14ac:dyDescent="0.25">
      <c r="B503" s="15"/>
      <c r="C503" s="15"/>
      <c r="D503" s="15"/>
      <c r="E503" s="16"/>
    </row>
    <row r="504" spans="2:5" x14ac:dyDescent="0.25">
      <c r="B504" s="15"/>
      <c r="C504" s="15"/>
      <c r="D504" s="15"/>
      <c r="E504" s="16"/>
    </row>
    <row r="505" spans="2:5" x14ac:dyDescent="0.25">
      <c r="B505" s="15"/>
      <c r="C505" s="15"/>
      <c r="D505" s="15"/>
      <c r="E505" s="16"/>
    </row>
    <row r="506" spans="2:5" x14ac:dyDescent="0.25">
      <c r="B506" s="15"/>
      <c r="C506" s="15"/>
      <c r="D506" s="15"/>
      <c r="E506" s="16"/>
    </row>
    <row r="507" spans="2:5" x14ac:dyDescent="0.25">
      <c r="B507" s="15"/>
      <c r="C507" s="15"/>
      <c r="D507" s="15"/>
      <c r="E507" s="16"/>
    </row>
    <row r="508" spans="2:5" x14ac:dyDescent="0.25">
      <c r="B508" s="15"/>
      <c r="C508" s="15"/>
      <c r="D508" s="15"/>
      <c r="E508" s="16"/>
    </row>
    <row r="509" spans="2:5" x14ac:dyDescent="0.25">
      <c r="B509" s="15"/>
      <c r="C509" s="15"/>
      <c r="D509" s="15"/>
      <c r="E509" s="16"/>
    </row>
    <row r="510" spans="2:5" x14ac:dyDescent="0.25">
      <c r="B510" s="15"/>
      <c r="C510" s="15"/>
      <c r="D510" s="15"/>
      <c r="E510" s="16"/>
    </row>
    <row r="511" spans="2:5" x14ac:dyDescent="0.25">
      <c r="B511" s="15"/>
      <c r="C511" s="15"/>
      <c r="D511" s="15"/>
      <c r="E511" s="16"/>
    </row>
    <row r="512" spans="2:5" x14ac:dyDescent="0.25">
      <c r="B512" s="15"/>
      <c r="C512" s="15"/>
      <c r="D512" s="15"/>
      <c r="E512" s="16"/>
    </row>
    <row r="513" spans="2:5" x14ac:dyDescent="0.25">
      <c r="B513" s="15"/>
      <c r="C513" s="15"/>
      <c r="D513" s="15"/>
      <c r="E513" s="16"/>
    </row>
    <row r="514" spans="2:5" x14ac:dyDescent="0.25">
      <c r="B514" s="15"/>
      <c r="C514" s="15"/>
      <c r="D514" s="15"/>
      <c r="E514" s="16"/>
    </row>
    <row r="515" spans="2:5" x14ac:dyDescent="0.25">
      <c r="B515" s="15"/>
      <c r="C515" s="15"/>
      <c r="D515" s="15"/>
      <c r="E515" s="16"/>
    </row>
    <row r="516" spans="2:5" x14ac:dyDescent="0.25">
      <c r="B516" s="15"/>
      <c r="C516" s="15"/>
      <c r="D516" s="15"/>
      <c r="E516" s="16"/>
    </row>
    <row r="517" spans="2:5" x14ac:dyDescent="0.25">
      <c r="B517" s="15"/>
      <c r="C517" s="15"/>
      <c r="D517" s="15"/>
      <c r="E517" s="16"/>
    </row>
    <row r="518" spans="2:5" x14ac:dyDescent="0.25">
      <c r="B518" s="15"/>
      <c r="C518" s="15"/>
      <c r="D518" s="15"/>
      <c r="E518" s="16"/>
    </row>
    <row r="519" spans="2:5" x14ac:dyDescent="0.25">
      <c r="B519" s="15"/>
      <c r="C519" s="15"/>
      <c r="D519" s="15"/>
      <c r="E519" s="16"/>
    </row>
    <row r="520" spans="2:5" x14ac:dyDescent="0.25">
      <c r="B520" s="15"/>
      <c r="C520" s="15"/>
      <c r="D520" s="15"/>
      <c r="E520" s="16"/>
    </row>
    <row r="521" spans="2:5" x14ac:dyDescent="0.25">
      <c r="B521" s="15"/>
      <c r="C521" s="15"/>
      <c r="D521" s="15"/>
      <c r="E521" s="16"/>
    </row>
    <row r="522" spans="2:5" x14ac:dyDescent="0.25">
      <c r="B522" s="15"/>
      <c r="C522" s="15"/>
      <c r="D522" s="15"/>
      <c r="E522" s="16"/>
    </row>
    <row r="523" spans="2:5" x14ac:dyDescent="0.25">
      <c r="B523" s="15"/>
      <c r="C523" s="15"/>
      <c r="D523" s="15"/>
      <c r="E523" s="16"/>
    </row>
    <row r="524" spans="2:5" x14ac:dyDescent="0.25">
      <c r="B524" s="15"/>
      <c r="C524" s="15"/>
      <c r="D524" s="15"/>
      <c r="E524" s="16"/>
    </row>
    <row r="525" spans="2:5" x14ac:dyDescent="0.25">
      <c r="B525" s="15"/>
      <c r="C525" s="15"/>
      <c r="D525" s="15"/>
      <c r="E525" s="16"/>
    </row>
    <row r="526" spans="2:5" x14ac:dyDescent="0.25">
      <c r="B526" s="15"/>
      <c r="C526" s="15"/>
      <c r="D526" s="15"/>
      <c r="E526" s="16"/>
    </row>
    <row r="527" spans="2:5" x14ac:dyDescent="0.25">
      <c r="B527" s="15"/>
      <c r="C527" s="15"/>
      <c r="D527" s="15"/>
      <c r="E527" s="16"/>
    </row>
    <row r="528" spans="2:5" x14ac:dyDescent="0.25">
      <c r="B528" s="15"/>
      <c r="C528" s="15"/>
      <c r="D528" s="15"/>
      <c r="E528" s="16"/>
    </row>
    <row r="529" spans="2:5" x14ac:dyDescent="0.25">
      <c r="B529" s="15"/>
      <c r="C529" s="15"/>
      <c r="D529" s="15"/>
      <c r="E529" s="16"/>
    </row>
    <row r="530" spans="2:5" x14ac:dyDescent="0.25">
      <c r="B530" s="15"/>
      <c r="C530" s="15"/>
      <c r="D530" s="15"/>
      <c r="E530" s="16"/>
    </row>
    <row r="531" spans="2:5" x14ac:dyDescent="0.25">
      <c r="B531" s="15"/>
      <c r="C531" s="15"/>
      <c r="D531" s="15"/>
      <c r="E531" s="16"/>
    </row>
    <row r="532" spans="2:5" x14ac:dyDescent="0.25">
      <c r="B532" s="15"/>
      <c r="C532" s="15"/>
      <c r="D532" s="15"/>
      <c r="E532" s="16"/>
    </row>
    <row r="533" spans="2:5" x14ac:dyDescent="0.25">
      <c r="B533" s="15"/>
      <c r="C533" s="15"/>
      <c r="D533" s="15"/>
      <c r="E533" s="16"/>
    </row>
    <row r="534" spans="2:5" x14ac:dyDescent="0.25">
      <c r="B534" s="15"/>
      <c r="C534" s="15"/>
      <c r="D534" s="15"/>
      <c r="E534" s="16"/>
    </row>
    <row r="535" spans="2:5" x14ac:dyDescent="0.25">
      <c r="B535" s="15"/>
      <c r="C535" s="15"/>
      <c r="D535" s="15"/>
      <c r="E535" s="16"/>
    </row>
    <row r="536" spans="2:5" x14ac:dyDescent="0.25">
      <c r="B536" s="15"/>
      <c r="C536" s="15"/>
      <c r="D536" s="15"/>
      <c r="E536" s="16"/>
    </row>
    <row r="537" spans="2:5" x14ac:dyDescent="0.25">
      <c r="B537" s="15"/>
      <c r="C537" s="15"/>
      <c r="D537" s="15"/>
      <c r="E537" s="16"/>
    </row>
    <row r="538" spans="2:5" x14ac:dyDescent="0.25">
      <c r="B538" s="15"/>
      <c r="C538" s="15"/>
      <c r="D538" s="15"/>
      <c r="E538" s="16"/>
    </row>
    <row r="539" spans="2:5" x14ac:dyDescent="0.25">
      <c r="B539" s="15"/>
      <c r="C539" s="15"/>
      <c r="D539" s="15"/>
      <c r="E539" s="16"/>
    </row>
    <row r="540" spans="2:5" x14ac:dyDescent="0.25">
      <c r="B540" s="15"/>
      <c r="C540" s="15"/>
      <c r="D540" s="15"/>
      <c r="E540" s="16"/>
    </row>
    <row r="541" spans="2:5" x14ac:dyDescent="0.25">
      <c r="B541" s="15"/>
      <c r="C541" s="15"/>
      <c r="D541" s="15"/>
      <c r="E541" s="16"/>
    </row>
    <row r="542" spans="2:5" x14ac:dyDescent="0.25">
      <c r="B542" s="15"/>
      <c r="C542" s="15"/>
      <c r="D542" s="15"/>
      <c r="E542" s="16"/>
    </row>
    <row r="543" spans="2:5" x14ac:dyDescent="0.25">
      <c r="B543" s="15"/>
      <c r="C543" s="15"/>
      <c r="D543" s="15"/>
      <c r="E543" s="16"/>
    </row>
    <row r="544" spans="2:5" x14ac:dyDescent="0.25">
      <c r="B544" s="15"/>
      <c r="C544" s="15"/>
      <c r="D544" s="15"/>
      <c r="E544" s="16"/>
    </row>
    <row r="545" spans="2:5" x14ac:dyDescent="0.25">
      <c r="B545" s="15"/>
      <c r="C545" s="15"/>
      <c r="D545" s="15"/>
      <c r="E545" s="16"/>
    </row>
    <row r="546" spans="2:5" x14ac:dyDescent="0.25">
      <c r="B546" s="15"/>
      <c r="C546" s="15"/>
      <c r="D546" s="15"/>
      <c r="E546" s="16"/>
    </row>
    <row r="547" spans="2:5" x14ac:dyDescent="0.25">
      <c r="B547" s="15"/>
      <c r="C547" s="15"/>
      <c r="D547" s="15"/>
      <c r="E547" s="16"/>
    </row>
    <row r="548" spans="2:5" x14ac:dyDescent="0.25">
      <c r="B548" s="15"/>
      <c r="C548" s="15"/>
      <c r="D548" s="15"/>
      <c r="E548" s="16"/>
    </row>
    <row r="549" spans="2:5" x14ac:dyDescent="0.25">
      <c r="B549" s="15"/>
      <c r="C549" s="15"/>
      <c r="D549" s="15"/>
      <c r="E549" s="16"/>
    </row>
    <row r="550" spans="2:5" x14ac:dyDescent="0.25">
      <c r="B550" s="15"/>
      <c r="C550" s="15"/>
      <c r="D550" s="15"/>
      <c r="E550" s="16"/>
    </row>
    <row r="551" spans="2:5" x14ac:dyDescent="0.25">
      <c r="B551" s="15"/>
      <c r="C551" s="15"/>
      <c r="D551" s="15"/>
      <c r="E551" s="16"/>
    </row>
    <row r="552" spans="2:5" x14ac:dyDescent="0.25">
      <c r="B552" s="15"/>
      <c r="C552" s="15"/>
      <c r="D552" s="15"/>
      <c r="E552" s="16"/>
    </row>
    <row r="553" spans="2:5" x14ac:dyDescent="0.25">
      <c r="B553" s="15"/>
      <c r="C553" s="15"/>
      <c r="D553" s="15"/>
      <c r="E553" s="16"/>
    </row>
    <row r="554" spans="2:5" x14ac:dyDescent="0.25">
      <c r="B554" s="15"/>
      <c r="C554" s="15"/>
      <c r="D554" s="15"/>
      <c r="E554" s="16"/>
    </row>
    <row r="555" spans="2:5" x14ac:dyDescent="0.25">
      <c r="B555" s="15"/>
      <c r="C555" s="15"/>
      <c r="D555" s="15"/>
      <c r="E555" s="16"/>
    </row>
    <row r="556" spans="2:5" x14ac:dyDescent="0.25">
      <c r="B556" s="15"/>
      <c r="C556" s="15"/>
      <c r="D556" s="15"/>
      <c r="E556" s="16"/>
    </row>
    <row r="557" spans="2:5" x14ac:dyDescent="0.25">
      <c r="B557" s="15"/>
      <c r="C557" s="15"/>
      <c r="D557" s="15"/>
      <c r="E557" s="16"/>
    </row>
    <row r="558" spans="2:5" x14ac:dyDescent="0.25">
      <c r="B558" s="15"/>
      <c r="C558" s="15"/>
      <c r="D558" s="15"/>
      <c r="E558" s="16"/>
    </row>
    <row r="559" spans="2:5" x14ac:dyDescent="0.25">
      <c r="B559" s="15"/>
      <c r="C559" s="15"/>
      <c r="D559" s="15"/>
      <c r="E559" s="16"/>
    </row>
    <row r="560" spans="2:5" x14ac:dyDescent="0.25">
      <c r="B560" s="15"/>
      <c r="C560" s="15"/>
      <c r="D560" s="15"/>
      <c r="E560" s="16"/>
    </row>
    <row r="561" spans="2:5" x14ac:dyDescent="0.25">
      <c r="B561" s="15"/>
      <c r="C561" s="15"/>
      <c r="D561" s="15"/>
      <c r="E561" s="16"/>
    </row>
    <row r="562" spans="2:5" x14ac:dyDescent="0.25">
      <c r="B562" s="15"/>
      <c r="C562" s="15"/>
      <c r="D562" s="15"/>
      <c r="E562" s="16"/>
    </row>
    <row r="563" spans="2:5" x14ac:dyDescent="0.25">
      <c r="B563" s="15"/>
      <c r="C563" s="15"/>
      <c r="D563" s="15"/>
      <c r="E563" s="16"/>
    </row>
    <row r="564" spans="2:5" x14ac:dyDescent="0.25">
      <c r="B564" s="15"/>
      <c r="C564" s="15"/>
      <c r="D564" s="15"/>
      <c r="E564" s="16"/>
    </row>
    <row r="565" spans="2:5" x14ac:dyDescent="0.25">
      <c r="B565" s="15"/>
      <c r="C565" s="15"/>
      <c r="D565" s="15"/>
      <c r="E565" s="16"/>
    </row>
    <row r="566" spans="2:5" x14ac:dyDescent="0.25">
      <c r="B566" s="15"/>
      <c r="C566" s="15"/>
      <c r="D566" s="15"/>
      <c r="E566" s="16"/>
    </row>
    <row r="567" spans="2:5" x14ac:dyDescent="0.25">
      <c r="B567" s="15"/>
      <c r="C567" s="15"/>
      <c r="D567" s="15"/>
      <c r="E567" s="16"/>
    </row>
    <row r="568" spans="2:5" x14ac:dyDescent="0.25">
      <c r="B568" s="15"/>
      <c r="C568" s="15"/>
      <c r="D568" s="15"/>
      <c r="E568" s="16"/>
    </row>
    <row r="569" spans="2:5" x14ac:dyDescent="0.25">
      <c r="B569" s="15"/>
      <c r="C569" s="15"/>
      <c r="D569" s="15"/>
      <c r="E569" s="16"/>
    </row>
    <row r="570" spans="2:5" x14ac:dyDescent="0.25">
      <c r="B570" s="15"/>
      <c r="C570" s="15"/>
      <c r="D570" s="15"/>
      <c r="E570" s="16"/>
    </row>
    <row r="571" spans="2:5" x14ac:dyDescent="0.25">
      <c r="B571" s="15"/>
      <c r="C571" s="15"/>
      <c r="D571" s="15"/>
      <c r="E571" s="16"/>
    </row>
    <row r="572" spans="2:5" x14ac:dyDescent="0.25">
      <c r="B572" s="15"/>
      <c r="C572" s="15"/>
      <c r="D572" s="15"/>
      <c r="E572" s="16"/>
    </row>
    <row r="573" spans="2:5" x14ac:dyDescent="0.25">
      <c r="B573" s="15"/>
      <c r="C573" s="15"/>
      <c r="D573" s="15"/>
      <c r="E573" s="16"/>
    </row>
    <row r="574" spans="2:5" x14ac:dyDescent="0.25">
      <c r="B574" s="15"/>
      <c r="C574" s="15"/>
      <c r="D574" s="15"/>
      <c r="E574" s="16"/>
    </row>
    <row r="575" spans="2:5" x14ac:dyDescent="0.25">
      <c r="B575" s="15"/>
      <c r="C575" s="15"/>
      <c r="D575" s="15"/>
      <c r="E575" s="16"/>
    </row>
    <row r="576" spans="2:5" x14ac:dyDescent="0.25">
      <c r="B576" s="15"/>
      <c r="C576" s="15"/>
      <c r="D576" s="15"/>
      <c r="E576" s="16"/>
    </row>
    <row r="577" spans="2:5" x14ac:dyDescent="0.25">
      <c r="B577" s="15"/>
      <c r="C577" s="15"/>
      <c r="D577" s="15"/>
      <c r="E577" s="16"/>
    </row>
    <row r="578" spans="2:5" x14ac:dyDescent="0.25">
      <c r="B578" s="15"/>
      <c r="C578" s="15"/>
      <c r="D578" s="15"/>
      <c r="E578" s="16"/>
    </row>
    <row r="579" spans="2:5" x14ac:dyDescent="0.25">
      <c r="B579" s="15"/>
      <c r="C579" s="15"/>
      <c r="D579" s="15"/>
      <c r="E579" s="16"/>
    </row>
    <row r="580" spans="2:5" x14ac:dyDescent="0.25">
      <c r="B580" s="15"/>
      <c r="C580" s="15"/>
      <c r="D580" s="15"/>
      <c r="E580" s="16"/>
    </row>
    <row r="581" spans="2:5" x14ac:dyDescent="0.25">
      <c r="B581" s="15"/>
      <c r="C581" s="15"/>
      <c r="D581" s="15"/>
      <c r="E581" s="16"/>
    </row>
    <row r="582" spans="2:5" x14ac:dyDescent="0.25">
      <c r="B582" s="15"/>
      <c r="C582" s="15"/>
      <c r="D582" s="15"/>
      <c r="E582" s="16"/>
    </row>
    <row r="583" spans="2:5" x14ac:dyDescent="0.25">
      <c r="B583" s="15"/>
      <c r="C583" s="15"/>
      <c r="D583" s="15"/>
      <c r="E583" s="16"/>
    </row>
    <row r="584" spans="2:5" x14ac:dyDescent="0.25">
      <c r="B584" s="15"/>
      <c r="C584" s="15"/>
      <c r="D584" s="15"/>
      <c r="E584" s="16"/>
    </row>
    <row r="585" spans="2:5" x14ac:dyDescent="0.25">
      <c r="B585" s="15"/>
      <c r="C585" s="15"/>
      <c r="D585" s="15"/>
      <c r="E585" s="16"/>
    </row>
    <row r="586" spans="2:5" x14ac:dyDescent="0.25">
      <c r="B586" s="15"/>
      <c r="C586" s="15"/>
      <c r="D586" s="15"/>
      <c r="E586" s="16"/>
    </row>
    <row r="587" spans="2:5" x14ac:dyDescent="0.25">
      <c r="B587" s="15"/>
      <c r="C587" s="15"/>
      <c r="D587" s="15"/>
      <c r="E587" s="16"/>
    </row>
    <row r="588" spans="2:5" x14ac:dyDescent="0.25">
      <c r="B588" s="15"/>
      <c r="C588" s="15"/>
      <c r="D588" s="15"/>
      <c r="E588" s="16"/>
    </row>
    <row r="589" spans="2:5" x14ac:dyDescent="0.25">
      <c r="B589" s="15"/>
      <c r="C589" s="15"/>
      <c r="D589" s="15"/>
      <c r="E589" s="16"/>
    </row>
    <row r="590" spans="2:5" x14ac:dyDescent="0.25">
      <c r="B590" s="15"/>
      <c r="C590" s="15"/>
      <c r="D590" s="15"/>
      <c r="E590" s="16"/>
    </row>
    <row r="591" spans="2:5" x14ac:dyDescent="0.25">
      <c r="B591" s="15"/>
      <c r="C591" s="15"/>
      <c r="D591" s="15"/>
      <c r="E591" s="16"/>
    </row>
    <row r="592" spans="2:5" x14ac:dyDescent="0.25">
      <c r="B592" s="15"/>
      <c r="C592" s="15"/>
      <c r="D592" s="15"/>
      <c r="E592" s="16"/>
    </row>
    <row r="593" spans="2:5" x14ac:dyDescent="0.25">
      <c r="B593" s="15"/>
      <c r="C593" s="15"/>
      <c r="D593" s="15"/>
      <c r="E593" s="16"/>
    </row>
    <row r="594" spans="2:5" x14ac:dyDescent="0.25">
      <c r="B594" s="15"/>
      <c r="C594" s="15"/>
      <c r="D594" s="15"/>
      <c r="E594" s="16"/>
    </row>
    <row r="595" spans="2:5" x14ac:dyDescent="0.25">
      <c r="B595" s="15"/>
      <c r="C595" s="15"/>
      <c r="D595" s="15"/>
      <c r="E595" s="16"/>
    </row>
    <row r="596" spans="2:5" x14ac:dyDescent="0.25">
      <c r="B596" s="15"/>
      <c r="C596" s="15"/>
      <c r="D596" s="15"/>
      <c r="E596" s="16"/>
    </row>
    <row r="597" spans="2:5" x14ac:dyDescent="0.25">
      <c r="B597" s="15"/>
      <c r="C597" s="15"/>
      <c r="D597" s="15"/>
      <c r="E597" s="16"/>
    </row>
    <row r="598" spans="2:5" x14ac:dyDescent="0.25">
      <c r="B598" s="15"/>
      <c r="C598" s="15"/>
      <c r="D598" s="15"/>
      <c r="E598" s="16"/>
    </row>
    <row r="599" spans="2:5" x14ac:dyDescent="0.25">
      <c r="B599" s="15"/>
      <c r="C599" s="15"/>
      <c r="D599" s="15"/>
      <c r="E599" s="16"/>
    </row>
    <row r="600" spans="2:5" x14ac:dyDescent="0.25">
      <c r="B600" s="15"/>
      <c r="C600" s="15"/>
      <c r="D600" s="15"/>
      <c r="E600" s="16"/>
    </row>
    <row r="601" spans="2:5" x14ac:dyDescent="0.25">
      <c r="B601" s="15"/>
      <c r="C601" s="15"/>
      <c r="D601" s="15"/>
      <c r="E601" s="16"/>
    </row>
    <row r="602" spans="2:5" x14ac:dyDescent="0.25">
      <c r="B602" s="15"/>
      <c r="C602" s="15"/>
      <c r="D602" s="15"/>
      <c r="E602" s="16"/>
    </row>
    <row r="603" spans="2:5" x14ac:dyDescent="0.25">
      <c r="B603" s="15"/>
      <c r="C603" s="15"/>
      <c r="D603" s="15"/>
      <c r="E603" s="16"/>
    </row>
    <row r="604" spans="2:5" x14ac:dyDescent="0.25">
      <c r="B604" s="15"/>
      <c r="C604" s="15"/>
      <c r="D604" s="15"/>
      <c r="E604" s="16"/>
    </row>
    <row r="605" spans="2:5" x14ac:dyDescent="0.25">
      <c r="B605" s="15"/>
      <c r="C605" s="15"/>
      <c r="D605" s="15"/>
      <c r="E605" s="16"/>
    </row>
    <row r="606" spans="2:5" x14ac:dyDescent="0.25">
      <c r="B606" s="15"/>
      <c r="C606" s="15"/>
      <c r="D606" s="15"/>
      <c r="E606" s="16"/>
    </row>
    <row r="607" spans="2:5" x14ac:dyDescent="0.25">
      <c r="B607" s="15"/>
      <c r="C607" s="15"/>
      <c r="D607" s="15"/>
      <c r="E607" s="16"/>
    </row>
    <row r="608" spans="2:5" x14ac:dyDescent="0.25">
      <c r="B608" s="15"/>
      <c r="C608" s="15"/>
      <c r="D608" s="15"/>
      <c r="E608" s="16"/>
    </row>
    <row r="609" spans="2:5" x14ac:dyDescent="0.25">
      <c r="B609" s="15"/>
      <c r="C609" s="15"/>
      <c r="D609" s="15"/>
      <c r="E609" s="16"/>
    </row>
    <row r="610" spans="2:5" x14ac:dyDescent="0.25">
      <c r="B610" s="15"/>
      <c r="C610" s="15"/>
      <c r="D610" s="15"/>
      <c r="E610" s="16"/>
    </row>
    <row r="611" spans="2:5" x14ac:dyDescent="0.25">
      <c r="B611" s="15"/>
      <c r="C611" s="15"/>
      <c r="D611" s="15"/>
      <c r="E611" s="16"/>
    </row>
    <row r="612" spans="2:5" x14ac:dyDescent="0.25">
      <c r="B612" s="15"/>
      <c r="C612" s="15"/>
      <c r="D612" s="15"/>
      <c r="E612" s="16"/>
    </row>
    <row r="613" spans="2:5" x14ac:dyDescent="0.25">
      <c r="B613" s="15"/>
      <c r="C613" s="15"/>
      <c r="D613" s="15"/>
      <c r="E613" s="16"/>
    </row>
    <row r="614" spans="2:5" x14ac:dyDescent="0.25">
      <c r="B614" s="15"/>
      <c r="C614" s="15"/>
      <c r="D614" s="15"/>
      <c r="E614" s="16"/>
    </row>
    <row r="615" spans="2:5" x14ac:dyDescent="0.25">
      <c r="B615" s="15"/>
      <c r="C615" s="15"/>
      <c r="D615" s="15"/>
      <c r="E615" s="16"/>
    </row>
    <row r="616" spans="2:5" x14ac:dyDescent="0.25">
      <c r="B616" s="15"/>
      <c r="C616" s="15"/>
      <c r="D616" s="15"/>
      <c r="E616" s="16"/>
    </row>
    <row r="617" spans="2:5" x14ac:dyDescent="0.25">
      <c r="B617" s="15"/>
      <c r="C617" s="15"/>
      <c r="D617" s="15"/>
      <c r="E617" s="16"/>
    </row>
    <row r="618" spans="2:5" x14ac:dyDescent="0.25">
      <c r="B618" s="15"/>
      <c r="C618" s="15"/>
      <c r="D618" s="15"/>
      <c r="E618" s="16"/>
    </row>
    <row r="619" spans="2:5" x14ac:dyDescent="0.25">
      <c r="B619" s="15"/>
      <c r="C619" s="15"/>
      <c r="D619" s="15"/>
      <c r="E619" s="16"/>
    </row>
    <row r="620" spans="2:5" x14ac:dyDescent="0.25">
      <c r="B620" s="15"/>
      <c r="C620" s="15"/>
      <c r="D620" s="15"/>
      <c r="E620" s="16"/>
    </row>
    <row r="621" spans="2:5" x14ac:dyDescent="0.25">
      <c r="B621" s="15"/>
      <c r="C621" s="15"/>
      <c r="D621" s="15"/>
      <c r="E621" s="16"/>
    </row>
    <row r="622" spans="2:5" x14ac:dyDescent="0.25">
      <c r="B622" s="15"/>
      <c r="C622" s="15"/>
      <c r="D622" s="15"/>
      <c r="E622" s="16"/>
    </row>
    <row r="623" spans="2:5" x14ac:dyDescent="0.25">
      <c r="B623" s="15"/>
      <c r="C623" s="15"/>
      <c r="D623" s="15"/>
      <c r="E623" s="16"/>
    </row>
    <row r="624" spans="2:5" x14ac:dyDescent="0.25">
      <c r="B624" s="15"/>
      <c r="C624" s="15"/>
      <c r="D624" s="15"/>
      <c r="E624" s="16"/>
    </row>
    <row r="625" spans="2:5" x14ac:dyDescent="0.25">
      <c r="B625" s="15"/>
      <c r="C625" s="15"/>
      <c r="D625" s="15"/>
      <c r="E625" s="16"/>
    </row>
    <row r="626" spans="2:5" x14ac:dyDescent="0.25">
      <c r="B626" s="15"/>
      <c r="C626" s="15"/>
      <c r="D626" s="15"/>
      <c r="E626" s="16"/>
    </row>
    <row r="627" spans="2:5" x14ac:dyDescent="0.25">
      <c r="B627" s="15"/>
      <c r="C627" s="15"/>
      <c r="D627" s="15"/>
      <c r="E627" s="16"/>
    </row>
    <row r="628" spans="2:5" x14ac:dyDescent="0.25">
      <c r="B628" s="15"/>
      <c r="C628" s="15"/>
      <c r="D628" s="15"/>
      <c r="E628" s="16"/>
    </row>
    <row r="629" spans="2:5" x14ac:dyDescent="0.25">
      <c r="B629" s="15"/>
      <c r="C629" s="15"/>
      <c r="D629" s="15"/>
      <c r="E629" s="16"/>
    </row>
    <row r="630" spans="2:5" x14ac:dyDescent="0.25">
      <c r="B630" s="15"/>
      <c r="C630" s="15"/>
      <c r="D630" s="15"/>
      <c r="E630" s="16"/>
    </row>
    <row r="631" spans="2:5" x14ac:dyDescent="0.25">
      <c r="B631" s="15"/>
      <c r="C631" s="15"/>
      <c r="D631" s="15"/>
      <c r="E631" s="16"/>
    </row>
    <row r="632" spans="2:5" x14ac:dyDescent="0.25">
      <c r="B632" s="15"/>
      <c r="C632" s="15"/>
      <c r="D632" s="15"/>
      <c r="E632" s="16"/>
    </row>
    <row r="633" spans="2:5" x14ac:dyDescent="0.25">
      <c r="B633" s="15"/>
      <c r="C633" s="15"/>
      <c r="D633" s="15"/>
      <c r="E633" s="16"/>
    </row>
    <row r="634" spans="2:5" x14ac:dyDescent="0.25">
      <c r="B634" s="15"/>
      <c r="C634" s="15"/>
      <c r="D634" s="15"/>
      <c r="E634" s="16"/>
    </row>
    <row r="635" spans="2:5" x14ac:dyDescent="0.25">
      <c r="B635" s="15"/>
      <c r="C635" s="15"/>
      <c r="D635" s="15"/>
      <c r="E635" s="16"/>
    </row>
    <row r="636" spans="2:5" x14ac:dyDescent="0.25">
      <c r="B636" s="15"/>
      <c r="C636" s="15"/>
      <c r="D636" s="15"/>
      <c r="E636" s="16"/>
    </row>
    <row r="637" spans="2:5" x14ac:dyDescent="0.25">
      <c r="B637" s="15"/>
      <c r="C637" s="15"/>
      <c r="D637" s="15"/>
      <c r="E637" s="16"/>
    </row>
    <row r="638" spans="2:5" x14ac:dyDescent="0.25">
      <c r="B638" s="15"/>
      <c r="C638" s="15"/>
      <c r="D638" s="15"/>
      <c r="E638" s="16"/>
    </row>
    <row r="639" spans="2:5" x14ac:dyDescent="0.25">
      <c r="B639" s="15"/>
      <c r="C639" s="15"/>
      <c r="D639" s="15"/>
      <c r="E639" s="16"/>
    </row>
    <row r="640" spans="2:5" x14ac:dyDescent="0.25">
      <c r="B640" s="15"/>
      <c r="C640" s="15"/>
      <c r="D640" s="15"/>
      <c r="E640" s="16"/>
    </row>
    <row r="641" spans="2:5" x14ac:dyDescent="0.25">
      <c r="B641" s="15"/>
      <c r="C641" s="15"/>
      <c r="D641" s="15"/>
      <c r="E641" s="16"/>
    </row>
    <row r="642" spans="2:5" x14ac:dyDescent="0.25">
      <c r="B642" s="15"/>
      <c r="C642" s="15"/>
      <c r="D642" s="15"/>
      <c r="E642" s="16"/>
    </row>
    <row r="643" spans="2:5" x14ac:dyDescent="0.25">
      <c r="B643" s="15"/>
      <c r="C643" s="15"/>
      <c r="D643" s="15"/>
      <c r="E643" s="16"/>
    </row>
    <row r="644" spans="2:5" x14ac:dyDescent="0.25">
      <c r="B644" s="15"/>
      <c r="C644" s="15"/>
      <c r="D644" s="15"/>
      <c r="E644" s="16"/>
    </row>
    <row r="645" spans="2:5" x14ac:dyDescent="0.25">
      <c r="B645" s="15"/>
      <c r="C645" s="15"/>
      <c r="D645" s="15"/>
      <c r="E645" s="16"/>
    </row>
    <row r="646" spans="2:5" x14ac:dyDescent="0.25">
      <c r="B646" s="15"/>
      <c r="C646" s="15"/>
      <c r="D646" s="15"/>
      <c r="E646" s="16"/>
    </row>
    <row r="647" spans="2:5" x14ac:dyDescent="0.25">
      <c r="B647" s="15"/>
      <c r="C647" s="15"/>
      <c r="D647" s="15"/>
      <c r="E647" s="16"/>
    </row>
    <row r="648" spans="2:5" x14ac:dyDescent="0.25">
      <c r="B648" s="15"/>
      <c r="C648" s="15"/>
      <c r="D648" s="15"/>
      <c r="E648" s="16"/>
    </row>
    <row r="649" spans="2:5" x14ac:dyDescent="0.25">
      <c r="B649" s="15"/>
      <c r="C649" s="15"/>
      <c r="D649" s="15"/>
      <c r="E649" s="16"/>
    </row>
    <row r="650" spans="2:5" x14ac:dyDescent="0.25">
      <c r="B650" s="15"/>
      <c r="C650" s="15"/>
      <c r="D650" s="15"/>
      <c r="E650" s="16"/>
    </row>
    <row r="651" spans="2:5" x14ac:dyDescent="0.25">
      <c r="B651" s="15"/>
      <c r="C651" s="15"/>
      <c r="D651" s="15"/>
      <c r="E651" s="16"/>
    </row>
    <row r="652" spans="2:5" x14ac:dyDescent="0.25">
      <c r="B652" s="15"/>
      <c r="C652" s="15"/>
      <c r="D652" s="15"/>
      <c r="E652" s="16"/>
    </row>
    <row r="653" spans="2:5" x14ac:dyDescent="0.25">
      <c r="B653" s="15"/>
      <c r="C653" s="15"/>
      <c r="D653" s="15"/>
      <c r="E653" s="16"/>
    </row>
    <row r="654" spans="2:5" x14ac:dyDescent="0.25">
      <c r="B654" s="15"/>
      <c r="C654" s="15"/>
      <c r="D654" s="15"/>
      <c r="E654" s="16"/>
    </row>
    <row r="655" spans="2:5" x14ac:dyDescent="0.25">
      <c r="B655" s="15"/>
      <c r="C655" s="15"/>
      <c r="D655" s="15"/>
      <c r="E655" s="16"/>
    </row>
    <row r="656" spans="2:5" x14ac:dyDescent="0.25">
      <c r="B656" s="15"/>
      <c r="C656" s="15"/>
      <c r="D656" s="15"/>
      <c r="E656" s="16"/>
    </row>
    <row r="657" spans="2:5" x14ac:dyDescent="0.25">
      <c r="B657" s="15"/>
      <c r="C657" s="15"/>
      <c r="D657" s="15"/>
      <c r="E657" s="16"/>
    </row>
    <row r="658" spans="2:5" x14ac:dyDescent="0.25">
      <c r="B658" s="15"/>
      <c r="C658" s="15"/>
      <c r="D658" s="15"/>
      <c r="E658" s="16"/>
    </row>
    <row r="659" spans="2:5" x14ac:dyDescent="0.25">
      <c r="B659" s="15"/>
      <c r="C659" s="15"/>
      <c r="D659" s="15"/>
      <c r="E659" s="16"/>
    </row>
    <row r="660" spans="2:5" x14ac:dyDescent="0.25">
      <c r="B660" s="15"/>
      <c r="C660" s="15"/>
      <c r="D660" s="15"/>
      <c r="E660" s="16"/>
    </row>
    <row r="661" spans="2:5" x14ac:dyDescent="0.25">
      <c r="B661" s="15"/>
      <c r="C661" s="15"/>
      <c r="D661" s="15"/>
      <c r="E661" s="16"/>
    </row>
    <row r="662" spans="2:5" x14ac:dyDescent="0.25">
      <c r="B662" s="15"/>
      <c r="C662" s="15"/>
      <c r="D662" s="15"/>
      <c r="E662" s="16"/>
    </row>
    <row r="663" spans="2:5" x14ac:dyDescent="0.25">
      <c r="B663" s="15"/>
      <c r="C663" s="15"/>
      <c r="D663" s="15"/>
      <c r="E663" s="16"/>
    </row>
    <row r="664" spans="2:5" x14ac:dyDescent="0.25">
      <c r="B664" s="15"/>
      <c r="C664" s="15"/>
      <c r="D664" s="15"/>
      <c r="E664" s="16"/>
    </row>
    <row r="665" spans="2:5" x14ac:dyDescent="0.25">
      <c r="B665" s="15"/>
      <c r="C665" s="15"/>
      <c r="D665" s="15"/>
      <c r="E665" s="16"/>
    </row>
    <row r="666" spans="2:5" x14ac:dyDescent="0.25">
      <c r="B666" s="15"/>
      <c r="C666" s="15"/>
      <c r="D666" s="15"/>
      <c r="E666" s="16"/>
    </row>
    <row r="667" spans="2:5" x14ac:dyDescent="0.25">
      <c r="B667" s="15"/>
      <c r="C667" s="15"/>
      <c r="D667" s="15"/>
      <c r="E667" s="16"/>
    </row>
    <row r="668" spans="2:5" x14ac:dyDescent="0.25">
      <c r="B668" s="15"/>
      <c r="C668" s="15"/>
      <c r="D668" s="15"/>
      <c r="E668" s="16"/>
    </row>
    <row r="669" spans="2:5" x14ac:dyDescent="0.25">
      <c r="B669" s="15"/>
      <c r="C669" s="15"/>
      <c r="D669" s="15"/>
      <c r="E669" s="16"/>
    </row>
    <row r="670" spans="2:5" x14ac:dyDescent="0.25">
      <c r="B670" s="15"/>
      <c r="C670" s="15"/>
      <c r="D670" s="15"/>
      <c r="E670" s="16"/>
    </row>
    <row r="671" spans="2:5" x14ac:dyDescent="0.25">
      <c r="B671" s="15"/>
      <c r="C671" s="15"/>
      <c r="D671" s="15"/>
      <c r="E671" s="16"/>
    </row>
    <row r="672" spans="2:5" x14ac:dyDescent="0.25">
      <c r="B672" s="15"/>
      <c r="C672" s="15"/>
      <c r="D672" s="15"/>
      <c r="E672" s="16"/>
    </row>
    <row r="673" spans="2:5" x14ac:dyDescent="0.25">
      <c r="B673" s="15"/>
      <c r="C673" s="15"/>
      <c r="D673" s="15"/>
      <c r="E673" s="16"/>
    </row>
    <row r="674" spans="2:5" x14ac:dyDescent="0.25">
      <c r="B674" s="15"/>
      <c r="C674" s="15"/>
      <c r="D674" s="15"/>
      <c r="E674" s="16"/>
    </row>
    <row r="675" spans="2:5" x14ac:dyDescent="0.25">
      <c r="B675" s="15"/>
      <c r="C675" s="15"/>
      <c r="D675" s="15"/>
      <c r="E675" s="16"/>
    </row>
    <row r="676" spans="2:5" x14ac:dyDescent="0.25">
      <c r="B676" s="15"/>
      <c r="C676" s="15"/>
      <c r="D676" s="15"/>
      <c r="E676" s="16"/>
    </row>
    <row r="677" spans="2:5" x14ac:dyDescent="0.25">
      <c r="B677" s="15"/>
      <c r="C677" s="15"/>
      <c r="D677" s="15"/>
      <c r="E677" s="16"/>
    </row>
    <row r="678" spans="2:5" x14ac:dyDescent="0.25">
      <c r="B678" s="15"/>
      <c r="C678" s="15"/>
      <c r="D678" s="15"/>
      <c r="E678" s="16"/>
    </row>
    <row r="679" spans="2:5" x14ac:dyDescent="0.25">
      <c r="B679" s="15"/>
      <c r="C679" s="15"/>
      <c r="D679" s="15"/>
      <c r="E679" s="16"/>
    </row>
    <row r="680" spans="2:5" x14ac:dyDescent="0.25">
      <c r="B680" s="15"/>
      <c r="C680" s="15"/>
      <c r="D680" s="15"/>
      <c r="E680" s="16"/>
    </row>
    <row r="681" spans="2:5" x14ac:dyDescent="0.25">
      <c r="B681" s="15"/>
      <c r="C681" s="15"/>
      <c r="D681" s="15"/>
      <c r="E681" s="16"/>
    </row>
    <row r="682" spans="2:5" x14ac:dyDescent="0.25">
      <c r="B682" s="15"/>
      <c r="C682" s="15"/>
      <c r="D682" s="15"/>
      <c r="E682" s="16"/>
    </row>
    <row r="683" spans="2:5" x14ac:dyDescent="0.25">
      <c r="B683" s="15"/>
      <c r="C683" s="15"/>
      <c r="D683" s="15"/>
      <c r="E683" s="16"/>
    </row>
    <row r="684" spans="2:5" x14ac:dyDescent="0.25">
      <c r="B684" s="15"/>
      <c r="C684" s="15"/>
      <c r="D684" s="15"/>
      <c r="E684" s="16"/>
    </row>
    <row r="685" spans="2:5" x14ac:dyDescent="0.25">
      <c r="B685" s="15"/>
      <c r="C685" s="15"/>
      <c r="D685" s="15"/>
      <c r="E685" s="16"/>
    </row>
    <row r="686" spans="2:5" x14ac:dyDescent="0.25">
      <c r="B686" s="15"/>
      <c r="C686" s="15"/>
      <c r="D686" s="15"/>
      <c r="E686" s="16"/>
    </row>
    <row r="687" spans="2:5" x14ac:dyDescent="0.25">
      <c r="B687" s="15"/>
      <c r="C687" s="15"/>
      <c r="D687" s="15"/>
      <c r="E687" s="16"/>
    </row>
    <row r="688" spans="2:5" x14ac:dyDescent="0.25">
      <c r="B688" s="15"/>
      <c r="C688" s="15"/>
      <c r="D688" s="15"/>
      <c r="E688" s="16"/>
    </row>
    <row r="689" spans="2:5" x14ac:dyDescent="0.25">
      <c r="B689" s="15"/>
      <c r="C689" s="15"/>
      <c r="D689" s="15"/>
      <c r="E689" s="16"/>
    </row>
    <row r="690" spans="2:5" x14ac:dyDescent="0.25">
      <c r="B690" s="15"/>
      <c r="C690" s="15"/>
      <c r="D690" s="15"/>
      <c r="E690" s="16"/>
    </row>
    <row r="691" spans="2:5" x14ac:dyDescent="0.25">
      <c r="B691" s="15"/>
      <c r="C691" s="15"/>
      <c r="D691" s="15"/>
      <c r="E691" s="16"/>
    </row>
    <row r="692" spans="2:5" x14ac:dyDescent="0.25">
      <c r="B692" s="15"/>
      <c r="C692" s="15"/>
      <c r="D692" s="15"/>
      <c r="E692" s="16"/>
    </row>
    <row r="693" spans="2:5" x14ac:dyDescent="0.25">
      <c r="B693" s="15"/>
      <c r="C693" s="15"/>
      <c r="D693" s="15"/>
      <c r="E693" s="16"/>
    </row>
    <row r="694" spans="2:5" x14ac:dyDescent="0.25">
      <c r="B694" s="15"/>
      <c r="C694" s="15"/>
      <c r="D694" s="15"/>
      <c r="E694" s="16"/>
    </row>
    <row r="695" spans="2:5" x14ac:dyDescent="0.25">
      <c r="B695" s="15"/>
      <c r="C695" s="15"/>
      <c r="D695" s="15"/>
      <c r="E695" s="16"/>
    </row>
    <row r="696" spans="2:5" x14ac:dyDescent="0.25">
      <c r="B696" s="15"/>
      <c r="C696" s="15"/>
      <c r="D696" s="15"/>
      <c r="E696" s="16"/>
    </row>
    <row r="697" spans="2:5" x14ac:dyDescent="0.25">
      <c r="B697" s="15"/>
      <c r="C697" s="15"/>
      <c r="D697" s="15"/>
      <c r="E697" s="16"/>
    </row>
    <row r="698" spans="2:5" x14ac:dyDescent="0.25">
      <c r="B698" s="15"/>
      <c r="C698" s="15"/>
      <c r="D698" s="15"/>
      <c r="E698" s="16"/>
    </row>
    <row r="699" spans="2:5" x14ac:dyDescent="0.25">
      <c r="B699" s="15"/>
      <c r="C699" s="15"/>
      <c r="D699" s="15"/>
      <c r="E699" s="16"/>
    </row>
    <row r="700" spans="2:5" x14ac:dyDescent="0.25">
      <c r="B700" s="15"/>
      <c r="C700" s="15"/>
      <c r="D700" s="15"/>
      <c r="E700" s="16"/>
    </row>
    <row r="701" spans="2:5" x14ac:dyDescent="0.25">
      <c r="B701" s="15"/>
      <c r="C701" s="15"/>
      <c r="D701" s="15"/>
      <c r="E701" s="16"/>
    </row>
    <row r="702" spans="2:5" x14ac:dyDescent="0.25">
      <c r="B702" s="15"/>
      <c r="C702" s="15"/>
      <c r="D702" s="15"/>
      <c r="E702" s="16"/>
    </row>
    <row r="703" spans="2:5" x14ac:dyDescent="0.25">
      <c r="B703" s="15"/>
      <c r="C703" s="15"/>
      <c r="D703" s="15"/>
      <c r="E703" s="16"/>
    </row>
    <row r="704" spans="2:5" x14ac:dyDescent="0.25">
      <c r="B704" s="15"/>
      <c r="C704" s="15"/>
      <c r="D704" s="15"/>
      <c r="E704" s="16"/>
    </row>
    <row r="705" spans="2:5" x14ac:dyDescent="0.25">
      <c r="B705" s="15"/>
      <c r="C705" s="15"/>
      <c r="D705" s="15"/>
      <c r="E705" s="16"/>
    </row>
    <row r="706" spans="2:5" x14ac:dyDescent="0.25">
      <c r="B706" s="15"/>
      <c r="C706" s="15"/>
      <c r="D706" s="15"/>
      <c r="E706" s="16"/>
    </row>
    <row r="707" spans="2:5" x14ac:dyDescent="0.25">
      <c r="B707" s="15"/>
      <c r="C707" s="15"/>
      <c r="D707" s="15"/>
      <c r="E707" s="16"/>
    </row>
    <row r="708" spans="2:5" x14ac:dyDescent="0.25">
      <c r="B708" s="15"/>
      <c r="C708" s="15"/>
      <c r="D708" s="15"/>
      <c r="E708" s="16"/>
    </row>
    <row r="709" spans="2:5" x14ac:dyDescent="0.25">
      <c r="B709" s="15"/>
      <c r="C709" s="15"/>
      <c r="D709" s="15"/>
      <c r="E709" s="16"/>
    </row>
    <row r="710" spans="2:5" x14ac:dyDescent="0.25">
      <c r="B710" s="15"/>
      <c r="C710" s="15"/>
      <c r="D710" s="15"/>
      <c r="E710" s="16"/>
    </row>
    <row r="711" spans="2:5" x14ac:dyDescent="0.25">
      <c r="B711" s="15"/>
      <c r="C711" s="15"/>
      <c r="D711" s="15"/>
      <c r="E711" s="16"/>
    </row>
    <row r="712" spans="2:5" x14ac:dyDescent="0.25">
      <c r="B712" s="15"/>
      <c r="C712" s="15"/>
      <c r="D712" s="15"/>
      <c r="E712" s="16"/>
    </row>
    <row r="713" spans="2:5" x14ac:dyDescent="0.25">
      <c r="B713" s="15"/>
      <c r="C713" s="15"/>
      <c r="D713" s="15"/>
      <c r="E713" s="16"/>
    </row>
    <row r="714" spans="2:5" x14ac:dyDescent="0.25">
      <c r="B714" s="15"/>
      <c r="C714" s="15"/>
      <c r="D714" s="15"/>
      <c r="E714" s="16"/>
    </row>
    <row r="715" spans="2:5" x14ac:dyDescent="0.25">
      <c r="B715" s="15"/>
      <c r="C715" s="15"/>
      <c r="D715" s="15"/>
      <c r="E715" s="16"/>
    </row>
    <row r="716" spans="2:5" x14ac:dyDescent="0.25">
      <c r="B716" s="15"/>
      <c r="C716" s="15"/>
      <c r="D716" s="15"/>
      <c r="E716" s="16"/>
    </row>
    <row r="717" spans="2:5" x14ac:dyDescent="0.25">
      <c r="B717" s="15"/>
      <c r="C717" s="15"/>
      <c r="D717" s="15"/>
      <c r="E717" s="16"/>
    </row>
    <row r="718" spans="2:5" x14ac:dyDescent="0.25">
      <c r="B718" s="15"/>
      <c r="C718" s="15"/>
      <c r="D718" s="15"/>
      <c r="E718" s="16"/>
    </row>
    <row r="719" spans="2:5" x14ac:dyDescent="0.25">
      <c r="B719" s="15"/>
      <c r="C719" s="15"/>
      <c r="D719" s="15"/>
      <c r="E719" s="16"/>
    </row>
    <row r="720" spans="2:5" x14ac:dyDescent="0.25">
      <c r="B720" s="15"/>
      <c r="C720" s="15"/>
      <c r="D720" s="15"/>
      <c r="E720" s="16"/>
    </row>
    <row r="721" spans="2:5" x14ac:dyDescent="0.25">
      <c r="B721" s="15"/>
      <c r="C721" s="15"/>
      <c r="D721" s="15"/>
      <c r="E721" s="16"/>
    </row>
    <row r="722" spans="2:5" x14ac:dyDescent="0.25">
      <c r="B722" s="15"/>
      <c r="C722" s="15"/>
      <c r="D722" s="15"/>
      <c r="E722" s="16"/>
    </row>
    <row r="723" spans="2:5" x14ac:dyDescent="0.25">
      <c r="B723" s="15"/>
      <c r="C723" s="15"/>
      <c r="D723" s="15"/>
      <c r="E723" s="16"/>
    </row>
    <row r="724" spans="2:5" x14ac:dyDescent="0.25">
      <c r="B724" s="15"/>
      <c r="C724" s="15"/>
      <c r="D724" s="15"/>
      <c r="E724" s="16"/>
    </row>
    <row r="725" spans="2:5" x14ac:dyDescent="0.25">
      <c r="B725" s="15"/>
      <c r="C725" s="15"/>
      <c r="D725" s="15"/>
      <c r="E725" s="16"/>
    </row>
    <row r="726" spans="2:5" x14ac:dyDescent="0.25">
      <c r="B726" s="15"/>
      <c r="C726" s="15"/>
      <c r="D726" s="15"/>
      <c r="E726" s="16"/>
    </row>
    <row r="727" spans="2:5" x14ac:dyDescent="0.25">
      <c r="B727" s="15"/>
      <c r="C727" s="15"/>
      <c r="D727" s="15"/>
      <c r="E727" s="16"/>
    </row>
    <row r="728" spans="2:5" x14ac:dyDescent="0.25">
      <c r="B728" s="15"/>
      <c r="C728" s="15"/>
      <c r="D728" s="15"/>
      <c r="E728" s="16"/>
    </row>
    <row r="729" spans="2:5" x14ac:dyDescent="0.25">
      <c r="B729" s="15"/>
      <c r="C729" s="15"/>
      <c r="D729" s="15"/>
      <c r="E729" s="16"/>
    </row>
    <row r="730" spans="2:5" x14ac:dyDescent="0.25">
      <c r="B730" s="15"/>
      <c r="C730" s="15"/>
      <c r="D730" s="15"/>
      <c r="E730" s="16"/>
    </row>
    <row r="731" spans="2:5" x14ac:dyDescent="0.25">
      <c r="B731" s="15"/>
      <c r="C731" s="15"/>
      <c r="D731" s="15"/>
      <c r="E731" s="16"/>
    </row>
    <row r="732" spans="2:5" x14ac:dyDescent="0.25">
      <c r="B732" s="15"/>
      <c r="C732" s="15"/>
      <c r="D732" s="15"/>
      <c r="E732" s="16"/>
    </row>
    <row r="733" spans="2:5" x14ac:dyDescent="0.25">
      <c r="B733" s="15"/>
      <c r="C733" s="15"/>
      <c r="D733" s="15"/>
      <c r="E733" s="16"/>
    </row>
    <row r="734" spans="2:5" x14ac:dyDescent="0.25">
      <c r="B734" s="15"/>
      <c r="C734" s="15"/>
      <c r="D734" s="15"/>
      <c r="E734" s="16"/>
    </row>
    <row r="735" spans="2:5" x14ac:dyDescent="0.25">
      <c r="B735" s="15"/>
      <c r="C735" s="15"/>
      <c r="D735" s="15"/>
      <c r="E735" s="16"/>
    </row>
    <row r="736" spans="2:5" x14ac:dyDescent="0.25">
      <c r="B736" s="15"/>
      <c r="C736" s="15"/>
      <c r="D736" s="15"/>
      <c r="E736" s="16"/>
    </row>
    <row r="737" spans="2:5" x14ac:dyDescent="0.25">
      <c r="B737" s="15"/>
      <c r="C737" s="15"/>
      <c r="D737" s="15"/>
      <c r="E737" s="16"/>
    </row>
    <row r="738" spans="2:5" x14ac:dyDescent="0.25">
      <c r="B738" s="15"/>
      <c r="C738" s="15"/>
      <c r="D738" s="15"/>
      <c r="E738" s="16"/>
    </row>
    <row r="739" spans="2:5" x14ac:dyDescent="0.25">
      <c r="B739" s="15"/>
      <c r="C739" s="15"/>
      <c r="D739" s="15"/>
      <c r="E739" s="16"/>
    </row>
    <row r="740" spans="2:5" x14ac:dyDescent="0.25">
      <c r="B740" s="15"/>
      <c r="C740" s="15"/>
      <c r="D740" s="15"/>
      <c r="E740" s="16"/>
    </row>
    <row r="741" spans="2:5" x14ac:dyDescent="0.25">
      <c r="B741" s="15"/>
      <c r="C741" s="15"/>
      <c r="D741" s="15"/>
      <c r="E741" s="16"/>
    </row>
    <row r="742" spans="2:5" x14ac:dyDescent="0.25">
      <c r="B742" s="15"/>
      <c r="C742" s="15"/>
      <c r="D742" s="15"/>
      <c r="E742" s="16"/>
    </row>
    <row r="743" spans="2:5" x14ac:dyDescent="0.25">
      <c r="B743" s="15"/>
      <c r="C743" s="15"/>
      <c r="D743" s="15"/>
      <c r="E743" s="16"/>
    </row>
    <row r="744" spans="2:5" x14ac:dyDescent="0.25">
      <c r="B744" s="15"/>
      <c r="C744" s="15"/>
      <c r="D744" s="15"/>
      <c r="E744" s="16"/>
    </row>
    <row r="745" spans="2:5" x14ac:dyDescent="0.25">
      <c r="B745" s="15"/>
      <c r="C745" s="15"/>
      <c r="D745" s="15"/>
      <c r="E745" s="16"/>
    </row>
    <row r="746" spans="2:5" x14ac:dyDescent="0.25">
      <c r="B746" s="15"/>
      <c r="C746" s="15"/>
      <c r="D746" s="15"/>
      <c r="E746" s="16"/>
    </row>
    <row r="747" spans="2:5" x14ac:dyDescent="0.25">
      <c r="B747" s="15"/>
      <c r="C747" s="15"/>
      <c r="D747" s="15"/>
      <c r="E747" s="16"/>
    </row>
    <row r="748" spans="2:5" x14ac:dyDescent="0.25">
      <c r="B748" s="15"/>
      <c r="C748" s="15"/>
      <c r="D748" s="15"/>
      <c r="E748" s="16"/>
    </row>
    <row r="749" spans="2:5" x14ac:dyDescent="0.25">
      <c r="B749" s="15"/>
      <c r="C749" s="15"/>
      <c r="D749" s="15"/>
      <c r="E749" s="16"/>
    </row>
    <row r="750" spans="2:5" x14ac:dyDescent="0.25">
      <c r="B750" s="15"/>
      <c r="C750" s="15"/>
      <c r="D750" s="15"/>
      <c r="E750" s="16"/>
    </row>
    <row r="751" spans="2:5" x14ac:dyDescent="0.25">
      <c r="B751" s="15"/>
      <c r="C751" s="15"/>
      <c r="D751" s="15"/>
      <c r="E751" s="16"/>
    </row>
    <row r="752" spans="2:5" x14ac:dyDescent="0.25">
      <c r="B752" s="15"/>
      <c r="C752" s="15"/>
      <c r="D752" s="15"/>
      <c r="E752" s="16"/>
    </row>
    <row r="753" spans="2:5" x14ac:dyDescent="0.25">
      <c r="B753" s="15"/>
      <c r="C753" s="15"/>
      <c r="D753" s="15"/>
      <c r="E753" s="16"/>
    </row>
    <row r="754" spans="2:5" x14ac:dyDescent="0.25">
      <c r="B754" s="15"/>
      <c r="C754" s="15"/>
      <c r="D754" s="15"/>
      <c r="E754" s="16"/>
    </row>
    <row r="755" spans="2:5" x14ac:dyDescent="0.25">
      <c r="B755" s="15"/>
      <c r="C755" s="15"/>
      <c r="D755" s="15"/>
      <c r="E755" s="16"/>
    </row>
    <row r="756" spans="2:5" x14ac:dyDescent="0.25">
      <c r="B756" s="15"/>
      <c r="C756" s="15"/>
      <c r="D756" s="15"/>
      <c r="E756" s="16"/>
    </row>
    <row r="757" spans="2:5" x14ac:dyDescent="0.25">
      <c r="B757" s="15"/>
      <c r="C757" s="15"/>
      <c r="D757" s="15"/>
      <c r="E757" s="16"/>
    </row>
    <row r="758" spans="2:5" x14ac:dyDescent="0.25">
      <c r="B758" s="15"/>
      <c r="C758" s="15"/>
      <c r="D758" s="15"/>
      <c r="E758" s="16"/>
    </row>
    <row r="759" spans="2:5" x14ac:dyDescent="0.25">
      <c r="B759" s="15"/>
      <c r="C759" s="15"/>
      <c r="D759" s="15"/>
      <c r="E759" s="16"/>
    </row>
    <row r="760" spans="2:5" x14ac:dyDescent="0.25">
      <c r="B760" s="15"/>
      <c r="C760" s="15"/>
      <c r="D760" s="15"/>
      <c r="E760" s="16"/>
    </row>
    <row r="761" spans="2:5" x14ac:dyDescent="0.25">
      <c r="B761" s="15"/>
      <c r="C761" s="15"/>
      <c r="D761" s="15"/>
      <c r="E761" s="16"/>
    </row>
    <row r="762" spans="2:5" x14ac:dyDescent="0.25">
      <c r="B762" s="15"/>
      <c r="C762" s="15"/>
      <c r="D762" s="15"/>
      <c r="E762" s="16"/>
    </row>
    <row r="763" spans="2:5" x14ac:dyDescent="0.25">
      <c r="B763" s="15"/>
      <c r="C763" s="15"/>
      <c r="D763" s="15"/>
      <c r="E763" s="16"/>
    </row>
    <row r="764" spans="2:5" x14ac:dyDescent="0.25">
      <c r="B764" s="15"/>
      <c r="C764" s="15"/>
      <c r="D764" s="15"/>
      <c r="E764" s="16"/>
    </row>
    <row r="765" spans="2:5" x14ac:dyDescent="0.25">
      <c r="B765" s="15"/>
      <c r="C765" s="15"/>
      <c r="D765" s="15"/>
      <c r="E765" s="16"/>
    </row>
    <row r="766" spans="2:5" x14ac:dyDescent="0.25">
      <c r="B766" s="15"/>
      <c r="C766" s="15"/>
      <c r="D766" s="15"/>
      <c r="E766" s="16"/>
    </row>
    <row r="767" spans="2:5" x14ac:dyDescent="0.25">
      <c r="B767" s="15"/>
      <c r="C767" s="15"/>
      <c r="D767" s="15"/>
      <c r="E767" s="16"/>
    </row>
    <row r="768" spans="2:5" x14ac:dyDescent="0.25">
      <c r="B768" s="15"/>
      <c r="C768" s="15"/>
      <c r="D768" s="15"/>
      <c r="E768" s="16"/>
    </row>
    <row r="769" spans="2:5" x14ac:dyDescent="0.25">
      <c r="B769" s="15"/>
      <c r="C769" s="15"/>
      <c r="D769" s="15"/>
      <c r="E769" s="16"/>
    </row>
    <row r="770" spans="2:5" x14ac:dyDescent="0.25">
      <c r="B770" s="15"/>
      <c r="C770" s="15"/>
      <c r="D770" s="15"/>
      <c r="E770" s="16"/>
    </row>
    <row r="771" spans="2:5" x14ac:dyDescent="0.25">
      <c r="B771" s="15"/>
      <c r="C771" s="15"/>
      <c r="D771" s="15"/>
      <c r="E771" s="16"/>
    </row>
    <row r="772" spans="2:5" x14ac:dyDescent="0.25">
      <c r="B772" s="15"/>
      <c r="C772" s="15"/>
      <c r="D772" s="15"/>
      <c r="E772" s="16"/>
    </row>
    <row r="773" spans="2:5" x14ac:dyDescent="0.25">
      <c r="B773" s="15"/>
      <c r="C773" s="15"/>
      <c r="D773" s="15"/>
      <c r="E773" s="16"/>
    </row>
    <row r="774" spans="2:5" x14ac:dyDescent="0.25">
      <c r="B774" s="15"/>
      <c r="C774" s="15"/>
      <c r="D774" s="15"/>
      <c r="E774" s="16"/>
    </row>
    <row r="775" spans="2:5" x14ac:dyDescent="0.25">
      <c r="B775" s="15"/>
      <c r="C775" s="15"/>
      <c r="D775" s="15"/>
      <c r="E775" s="16"/>
    </row>
    <row r="776" spans="2:5" x14ac:dyDescent="0.25">
      <c r="B776" s="15"/>
      <c r="C776" s="15"/>
      <c r="D776" s="15"/>
      <c r="E776" s="16"/>
    </row>
    <row r="777" spans="2:5" x14ac:dyDescent="0.25">
      <c r="B777" s="15"/>
      <c r="C777" s="15"/>
      <c r="D777" s="15"/>
      <c r="E777" s="16"/>
    </row>
    <row r="778" spans="2:5" x14ac:dyDescent="0.25">
      <c r="B778" s="15"/>
      <c r="C778" s="15"/>
      <c r="D778" s="15"/>
      <c r="E778" s="16"/>
    </row>
    <row r="779" spans="2:5" x14ac:dyDescent="0.25">
      <c r="B779" s="15"/>
      <c r="C779" s="15"/>
      <c r="D779" s="15"/>
      <c r="E779" s="16"/>
    </row>
    <row r="780" spans="2:5" x14ac:dyDescent="0.25">
      <c r="B780" s="15"/>
      <c r="C780" s="15"/>
      <c r="D780" s="15"/>
      <c r="E780" s="16"/>
    </row>
    <row r="781" spans="2:5" x14ac:dyDescent="0.25">
      <c r="B781" s="15"/>
      <c r="C781" s="15"/>
      <c r="D781" s="15"/>
      <c r="E781" s="16"/>
    </row>
    <row r="782" spans="2:5" x14ac:dyDescent="0.25">
      <c r="B782" s="15"/>
      <c r="C782" s="15"/>
      <c r="D782" s="15"/>
      <c r="E782" s="16"/>
    </row>
    <row r="783" spans="2:5" x14ac:dyDescent="0.25">
      <c r="B783" s="15"/>
      <c r="C783" s="15"/>
      <c r="D783" s="15"/>
      <c r="E783" s="16"/>
    </row>
    <row r="784" spans="2:5" x14ac:dyDescent="0.25">
      <c r="B784" s="15"/>
      <c r="C784" s="15"/>
      <c r="D784" s="15"/>
      <c r="E784" s="16"/>
    </row>
    <row r="785" spans="2:5" x14ac:dyDescent="0.25">
      <c r="B785" s="15"/>
      <c r="C785" s="15"/>
      <c r="D785" s="15"/>
      <c r="E785" s="16"/>
    </row>
    <row r="786" spans="2:5" x14ac:dyDescent="0.25">
      <c r="B786" s="15"/>
      <c r="C786" s="15"/>
      <c r="D786" s="15"/>
      <c r="E786" s="16"/>
    </row>
    <row r="787" spans="2:5" x14ac:dyDescent="0.25">
      <c r="B787" s="15"/>
      <c r="C787" s="15"/>
      <c r="D787" s="15"/>
      <c r="E787" s="16"/>
    </row>
    <row r="788" spans="2:5" x14ac:dyDescent="0.25">
      <c r="B788" s="15"/>
      <c r="C788" s="15"/>
      <c r="D788" s="15"/>
      <c r="E788" s="16"/>
    </row>
    <row r="789" spans="2:5" x14ac:dyDescent="0.25">
      <c r="B789" s="15"/>
      <c r="C789" s="15"/>
      <c r="D789" s="15"/>
      <c r="E789" s="16"/>
    </row>
    <row r="790" spans="2:5" x14ac:dyDescent="0.25">
      <c r="B790" s="15"/>
      <c r="C790" s="15"/>
      <c r="D790" s="15"/>
      <c r="E790" s="16"/>
    </row>
    <row r="791" spans="2:5" x14ac:dyDescent="0.25">
      <c r="B791" s="15"/>
      <c r="C791" s="15"/>
      <c r="D791" s="15"/>
      <c r="E791" s="16"/>
    </row>
    <row r="792" spans="2:5" x14ac:dyDescent="0.25">
      <c r="B792" s="15"/>
      <c r="C792" s="15"/>
      <c r="D792" s="15"/>
      <c r="E792" s="16"/>
    </row>
    <row r="793" spans="2:5" x14ac:dyDescent="0.25">
      <c r="B793" s="15"/>
      <c r="C793" s="15"/>
      <c r="D793" s="15"/>
      <c r="E793" s="16"/>
    </row>
    <row r="794" spans="2:5" x14ac:dyDescent="0.25">
      <c r="B794" s="15"/>
      <c r="C794" s="15"/>
      <c r="D794" s="15"/>
      <c r="E794" s="16"/>
    </row>
    <row r="795" spans="2:5" x14ac:dyDescent="0.25">
      <c r="B795" s="15"/>
      <c r="C795" s="15"/>
      <c r="D795" s="15"/>
      <c r="E795" s="16"/>
    </row>
    <row r="796" spans="2:5" x14ac:dyDescent="0.25">
      <c r="B796" s="15"/>
      <c r="C796" s="15"/>
      <c r="D796" s="15"/>
      <c r="E796" s="16"/>
    </row>
    <row r="797" spans="2:5" x14ac:dyDescent="0.25">
      <c r="B797" s="15"/>
      <c r="C797" s="15"/>
      <c r="D797" s="15"/>
      <c r="E797" s="16"/>
    </row>
    <row r="798" spans="2:5" x14ac:dyDescent="0.25">
      <c r="B798" s="15"/>
      <c r="C798" s="15"/>
      <c r="D798" s="15"/>
      <c r="E798" s="16"/>
    </row>
    <row r="799" spans="2:5" x14ac:dyDescent="0.25">
      <c r="B799" s="15"/>
      <c r="C799" s="15"/>
      <c r="D799" s="15"/>
      <c r="E799" s="16"/>
    </row>
    <row r="800" spans="2:5" x14ac:dyDescent="0.25">
      <c r="B800" s="15"/>
      <c r="C800" s="15"/>
      <c r="D800" s="15"/>
      <c r="E800" s="16"/>
    </row>
    <row r="801" spans="2:5" x14ac:dyDescent="0.25">
      <c r="B801" s="15"/>
      <c r="C801" s="15"/>
      <c r="D801" s="15"/>
      <c r="E801" s="16"/>
    </row>
    <row r="802" spans="2:5" x14ac:dyDescent="0.25">
      <c r="B802" s="15"/>
      <c r="C802" s="15"/>
      <c r="D802" s="15"/>
      <c r="E802" s="16"/>
    </row>
    <row r="803" spans="2:5" x14ac:dyDescent="0.25">
      <c r="B803" s="15"/>
      <c r="C803" s="15"/>
      <c r="D803" s="15"/>
      <c r="E803" s="16"/>
    </row>
    <row r="804" spans="2:5" x14ac:dyDescent="0.25">
      <c r="B804" s="15"/>
      <c r="C804" s="15"/>
      <c r="D804" s="15"/>
      <c r="E804" s="16"/>
    </row>
    <row r="805" spans="2:5" x14ac:dyDescent="0.25">
      <c r="B805" s="15"/>
      <c r="C805" s="15"/>
      <c r="D805" s="15"/>
      <c r="E805" s="16"/>
    </row>
    <row r="806" spans="2:5" x14ac:dyDescent="0.25">
      <c r="B806" s="15"/>
      <c r="C806" s="15"/>
      <c r="D806" s="15"/>
      <c r="E806" s="16"/>
    </row>
    <row r="807" spans="2:5" x14ac:dyDescent="0.25">
      <c r="B807" s="15"/>
      <c r="C807" s="15"/>
      <c r="D807" s="15"/>
      <c r="E807" s="16"/>
    </row>
    <row r="808" spans="2:5" x14ac:dyDescent="0.25">
      <c r="B808" s="15"/>
      <c r="C808" s="15"/>
      <c r="D808" s="15"/>
      <c r="E808" s="16"/>
    </row>
    <row r="809" spans="2:5" x14ac:dyDescent="0.25">
      <c r="B809" s="15"/>
      <c r="C809" s="15"/>
      <c r="D809" s="15"/>
      <c r="E809" s="16"/>
    </row>
    <row r="810" spans="2:5" x14ac:dyDescent="0.25">
      <c r="B810" s="15"/>
      <c r="C810" s="15"/>
      <c r="D810" s="15"/>
      <c r="E810" s="16"/>
    </row>
    <row r="811" spans="2:5" x14ac:dyDescent="0.25">
      <c r="B811" s="15"/>
      <c r="C811" s="15"/>
      <c r="D811" s="15"/>
      <c r="E811" s="16"/>
    </row>
    <row r="812" spans="2:5" x14ac:dyDescent="0.25">
      <c r="B812" s="15"/>
      <c r="C812" s="15"/>
      <c r="D812" s="15"/>
      <c r="E812" s="16"/>
    </row>
    <row r="813" spans="2:5" x14ac:dyDescent="0.25">
      <c r="B813" s="15"/>
      <c r="C813" s="15"/>
      <c r="D813" s="15"/>
      <c r="E813" s="16"/>
    </row>
    <row r="814" spans="2:5" x14ac:dyDescent="0.25">
      <c r="B814" s="15"/>
      <c r="C814" s="15"/>
      <c r="D814" s="15"/>
      <c r="E814" s="16"/>
    </row>
    <row r="815" spans="2:5" x14ac:dyDescent="0.25">
      <c r="B815" s="15"/>
      <c r="C815" s="15"/>
      <c r="D815" s="15"/>
      <c r="E815" s="16"/>
    </row>
    <row r="816" spans="2:5" x14ac:dyDescent="0.25">
      <c r="B816" s="15"/>
      <c r="C816" s="15"/>
      <c r="D816" s="15"/>
      <c r="E816" s="16"/>
    </row>
    <row r="817" spans="2:5" x14ac:dyDescent="0.25">
      <c r="B817" s="15"/>
      <c r="C817" s="15"/>
      <c r="D817" s="15"/>
      <c r="E817" s="16"/>
    </row>
    <row r="818" spans="2:5" x14ac:dyDescent="0.25">
      <c r="B818" s="15"/>
      <c r="C818" s="15"/>
      <c r="D818" s="15"/>
      <c r="E818" s="16"/>
    </row>
    <row r="819" spans="2:5" x14ac:dyDescent="0.25">
      <c r="B819" s="15"/>
      <c r="C819" s="15"/>
      <c r="D819" s="15"/>
      <c r="E819" s="16"/>
    </row>
    <row r="820" spans="2:5" x14ac:dyDescent="0.25">
      <c r="B820" s="15"/>
      <c r="C820" s="15"/>
      <c r="D820" s="15"/>
      <c r="E820" s="16"/>
    </row>
    <row r="821" spans="2:5" x14ac:dyDescent="0.25">
      <c r="B821" s="15"/>
      <c r="C821" s="15"/>
      <c r="D821" s="15"/>
      <c r="E821" s="16"/>
    </row>
    <row r="822" spans="2:5" x14ac:dyDescent="0.25">
      <c r="B822" s="15"/>
      <c r="C822" s="15"/>
      <c r="D822" s="15"/>
      <c r="E822" s="16"/>
    </row>
    <row r="823" spans="2:5" x14ac:dyDescent="0.25">
      <c r="B823" s="15"/>
      <c r="C823" s="15"/>
      <c r="D823" s="15"/>
      <c r="E823" s="16"/>
    </row>
    <row r="824" spans="2:5" x14ac:dyDescent="0.25">
      <c r="B824" s="15"/>
      <c r="C824" s="15"/>
      <c r="D824" s="15"/>
      <c r="E824" s="16"/>
    </row>
    <row r="825" spans="2:5" x14ac:dyDescent="0.25">
      <c r="B825" s="15"/>
      <c r="C825" s="15"/>
      <c r="D825" s="15"/>
      <c r="E825" s="16"/>
    </row>
    <row r="826" spans="2:5" x14ac:dyDescent="0.25">
      <c r="B826" s="15"/>
      <c r="C826" s="15"/>
      <c r="D826" s="15"/>
      <c r="E826" s="16"/>
    </row>
    <row r="827" spans="2:5" x14ac:dyDescent="0.25">
      <c r="B827" s="15"/>
      <c r="C827" s="15"/>
      <c r="D827" s="15"/>
      <c r="E827" s="16"/>
    </row>
    <row r="828" spans="2:5" x14ac:dyDescent="0.25">
      <c r="B828" s="15"/>
      <c r="C828" s="15"/>
      <c r="D828" s="15"/>
      <c r="E828" s="16"/>
    </row>
    <row r="829" spans="2:5" x14ac:dyDescent="0.25">
      <c r="B829" s="15"/>
      <c r="C829" s="15"/>
      <c r="D829" s="15"/>
      <c r="E829" s="16"/>
    </row>
    <row r="830" spans="2:5" x14ac:dyDescent="0.25">
      <c r="B830" s="15"/>
      <c r="C830" s="15"/>
      <c r="D830" s="15"/>
      <c r="E830" s="16"/>
    </row>
    <row r="831" spans="2:5" x14ac:dyDescent="0.25">
      <c r="B831" s="15"/>
      <c r="C831" s="15"/>
      <c r="D831" s="15"/>
      <c r="E831" s="16"/>
    </row>
    <row r="832" spans="2:5" x14ac:dyDescent="0.25">
      <c r="B832" s="15"/>
      <c r="C832" s="15"/>
      <c r="D832" s="15"/>
      <c r="E832" s="16"/>
    </row>
    <row r="833" spans="2:5" x14ac:dyDescent="0.25">
      <c r="B833" s="15"/>
      <c r="C833" s="15"/>
      <c r="D833" s="15"/>
      <c r="E833" s="16"/>
    </row>
    <row r="834" spans="2:5" x14ac:dyDescent="0.25">
      <c r="B834" s="15"/>
      <c r="C834" s="15"/>
      <c r="D834" s="15"/>
      <c r="E834" s="16"/>
    </row>
    <row r="835" spans="2:5" x14ac:dyDescent="0.25">
      <c r="B835" s="15"/>
      <c r="C835" s="15"/>
      <c r="D835" s="15"/>
      <c r="E835" s="16"/>
    </row>
    <row r="836" spans="2:5" x14ac:dyDescent="0.25">
      <c r="B836" s="15"/>
      <c r="C836" s="15"/>
      <c r="D836" s="15"/>
      <c r="E836" s="16"/>
    </row>
    <row r="837" spans="2:5" x14ac:dyDescent="0.25">
      <c r="B837" s="15"/>
      <c r="C837" s="15"/>
      <c r="D837" s="15"/>
      <c r="E837" s="16"/>
    </row>
    <row r="838" spans="2:5" x14ac:dyDescent="0.25">
      <c r="B838" s="15"/>
      <c r="C838" s="15"/>
      <c r="D838" s="15"/>
      <c r="E838" s="16"/>
    </row>
    <row r="839" spans="2:5" x14ac:dyDescent="0.25">
      <c r="B839" s="15"/>
      <c r="C839" s="15"/>
      <c r="D839" s="15"/>
      <c r="E839" s="16"/>
    </row>
    <row r="840" spans="2:5" x14ac:dyDescent="0.25">
      <c r="B840" s="15"/>
      <c r="C840" s="15"/>
      <c r="D840" s="15"/>
      <c r="E840" s="16"/>
    </row>
    <row r="841" spans="2:5" x14ac:dyDescent="0.25">
      <c r="B841" s="15"/>
      <c r="C841" s="15"/>
      <c r="D841" s="15"/>
      <c r="E841" s="16"/>
    </row>
    <row r="842" spans="2:5" x14ac:dyDescent="0.25">
      <c r="B842" s="15"/>
      <c r="C842" s="15"/>
      <c r="D842" s="15"/>
      <c r="E842" s="16"/>
    </row>
    <row r="843" spans="2:5" x14ac:dyDescent="0.25">
      <c r="B843" s="15"/>
      <c r="C843" s="15"/>
      <c r="D843" s="15"/>
      <c r="E843" s="16"/>
    </row>
    <row r="844" spans="2:5" x14ac:dyDescent="0.25">
      <c r="B844" s="15"/>
      <c r="C844" s="15"/>
      <c r="D844" s="15"/>
      <c r="E844" s="16"/>
    </row>
    <row r="845" spans="2:5" x14ac:dyDescent="0.25">
      <c r="B845" s="15"/>
      <c r="C845" s="15"/>
      <c r="D845" s="15"/>
      <c r="E845" s="16"/>
    </row>
    <row r="846" spans="2:5" x14ac:dyDescent="0.25">
      <c r="B846" s="15"/>
      <c r="C846" s="15"/>
      <c r="D846" s="15"/>
      <c r="E846" s="16"/>
    </row>
    <row r="847" spans="2:5" x14ac:dyDescent="0.25">
      <c r="B847" s="15"/>
      <c r="C847" s="15"/>
      <c r="D847" s="15"/>
      <c r="E847" s="16"/>
    </row>
    <row r="848" spans="2:5" x14ac:dyDescent="0.25">
      <c r="B848" s="15"/>
      <c r="C848" s="15"/>
      <c r="D848" s="15"/>
      <c r="E848" s="16"/>
    </row>
    <row r="849" spans="2:5" x14ac:dyDescent="0.25">
      <c r="B849" s="15"/>
      <c r="C849" s="15"/>
      <c r="D849" s="15"/>
      <c r="E849" s="16"/>
    </row>
    <row r="850" spans="2:5" x14ac:dyDescent="0.25">
      <c r="B850" s="15"/>
      <c r="C850" s="15"/>
      <c r="D850" s="15"/>
      <c r="E850" s="16"/>
    </row>
    <row r="851" spans="2:5" x14ac:dyDescent="0.25">
      <c r="B851" s="15"/>
      <c r="C851" s="15"/>
      <c r="D851" s="15"/>
      <c r="E851" s="16"/>
    </row>
    <row r="852" spans="2:5" x14ac:dyDescent="0.25">
      <c r="B852" s="15"/>
      <c r="C852" s="15"/>
      <c r="D852" s="15"/>
      <c r="E852" s="16"/>
    </row>
    <row r="853" spans="2:5" x14ac:dyDescent="0.25">
      <c r="B853" s="15"/>
      <c r="C853" s="15"/>
      <c r="D853" s="15"/>
      <c r="E853" s="16"/>
    </row>
    <row r="854" spans="2:5" x14ac:dyDescent="0.25">
      <c r="B854" s="15"/>
      <c r="C854" s="15"/>
      <c r="D854" s="15"/>
      <c r="E854" s="16"/>
    </row>
    <row r="855" spans="2:5" x14ac:dyDescent="0.25">
      <c r="B855" s="15"/>
      <c r="C855" s="15"/>
      <c r="D855" s="15"/>
      <c r="E855" s="16"/>
    </row>
    <row r="856" spans="2:5" x14ac:dyDescent="0.25">
      <c r="B856" s="15"/>
      <c r="C856" s="15"/>
      <c r="D856" s="15"/>
      <c r="E856" s="16"/>
    </row>
    <row r="857" spans="2:5" x14ac:dyDescent="0.25">
      <c r="B857" s="15"/>
      <c r="C857" s="15"/>
      <c r="D857" s="15"/>
      <c r="E857" s="16"/>
    </row>
    <row r="858" spans="2:5" x14ac:dyDescent="0.25">
      <c r="B858" s="15"/>
      <c r="C858" s="15"/>
      <c r="D858" s="15"/>
      <c r="E858" s="16"/>
    </row>
    <row r="859" spans="2:5" x14ac:dyDescent="0.25">
      <c r="B859" s="15"/>
      <c r="C859" s="15"/>
      <c r="D859" s="15"/>
      <c r="E859" s="16"/>
    </row>
    <row r="860" spans="2:5" x14ac:dyDescent="0.25">
      <c r="B860" s="15"/>
      <c r="C860" s="15"/>
      <c r="D860" s="15"/>
      <c r="E860" s="16"/>
    </row>
    <row r="861" spans="2:5" x14ac:dyDescent="0.25">
      <c r="B861" s="15"/>
      <c r="C861" s="15"/>
      <c r="D861" s="15"/>
      <c r="E861" s="16"/>
    </row>
    <row r="862" spans="2:5" x14ac:dyDescent="0.25">
      <c r="B862" s="15"/>
      <c r="C862" s="15"/>
      <c r="D862" s="15"/>
      <c r="E862" s="16"/>
    </row>
    <row r="863" spans="2:5" x14ac:dyDescent="0.25">
      <c r="B863" s="15"/>
      <c r="C863" s="15"/>
      <c r="D863" s="15"/>
      <c r="E863" s="16"/>
    </row>
    <row r="864" spans="2:5" x14ac:dyDescent="0.25">
      <c r="B864" s="15"/>
      <c r="C864" s="15"/>
      <c r="D864" s="15"/>
      <c r="E864" s="16"/>
    </row>
    <row r="865" spans="2:5" x14ac:dyDescent="0.25">
      <c r="B865" s="15"/>
      <c r="C865" s="15"/>
      <c r="D865" s="15"/>
      <c r="E865" s="16"/>
    </row>
    <row r="866" spans="2:5" x14ac:dyDescent="0.25">
      <c r="B866" s="15"/>
      <c r="C866" s="15"/>
      <c r="D866" s="15"/>
      <c r="E866" s="16"/>
    </row>
    <row r="867" spans="2:5" x14ac:dyDescent="0.25">
      <c r="B867" s="15"/>
      <c r="C867" s="15"/>
      <c r="D867" s="15"/>
      <c r="E867" s="16"/>
    </row>
    <row r="868" spans="2:5" x14ac:dyDescent="0.25">
      <c r="B868" s="15"/>
      <c r="C868" s="15"/>
      <c r="D868" s="15"/>
      <c r="E868" s="16"/>
    </row>
    <row r="869" spans="2:5" x14ac:dyDescent="0.25">
      <c r="B869" s="15"/>
      <c r="C869" s="15"/>
      <c r="D869" s="15"/>
      <c r="E869" s="16"/>
    </row>
    <row r="870" spans="2:5" x14ac:dyDescent="0.25">
      <c r="B870" s="15"/>
      <c r="C870" s="15"/>
      <c r="D870" s="15"/>
      <c r="E870" s="16"/>
    </row>
    <row r="871" spans="2:5" x14ac:dyDescent="0.25">
      <c r="B871" s="15"/>
      <c r="C871" s="15"/>
      <c r="D871" s="15"/>
      <c r="E871" s="16"/>
    </row>
    <row r="872" spans="2:5" x14ac:dyDescent="0.25">
      <c r="B872" s="15"/>
      <c r="C872" s="15"/>
      <c r="D872" s="15"/>
      <c r="E872" s="16"/>
    </row>
    <row r="873" spans="2:5" x14ac:dyDescent="0.25">
      <c r="B873" s="15"/>
      <c r="C873" s="15"/>
      <c r="D873" s="15"/>
      <c r="E873" s="16"/>
    </row>
    <row r="874" spans="2:5" x14ac:dyDescent="0.25">
      <c r="B874" s="15"/>
      <c r="C874" s="15"/>
      <c r="D874" s="15"/>
      <c r="E874" s="16"/>
    </row>
    <row r="875" spans="2:5" x14ac:dyDescent="0.25">
      <c r="B875" s="15"/>
      <c r="C875" s="15"/>
      <c r="D875" s="15"/>
      <c r="E875" s="16"/>
    </row>
    <row r="876" spans="2:5" x14ac:dyDescent="0.25">
      <c r="B876" s="15"/>
      <c r="C876" s="15"/>
      <c r="D876" s="15"/>
      <c r="E876" s="16"/>
    </row>
    <row r="877" spans="2:5" x14ac:dyDescent="0.25">
      <c r="B877" s="15"/>
      <c r="C877" s="15"/>
      <c r="D877" s="15"/>
      <c r="E877" s="16"/>
    </row>
    <row r="878" spans="2:5" x14ac:dyDescent="0.25">
      <c r="B878" s="15"/>
      <c r="C878" s="15"/>
      <c r="D878" s="15"/>
      <c r="E878" s="16"/>
    </row>
    <row r="879" spans="2:5" x14ac:dyDescent="0.25">
      <c r="B879" s="15"/>
      <c r="C879" s="15"/>
      <c r="D879" s="15"/>
      <c r="E879" s="16"/>
    </row>
    <row r="880" spans="2:5" x14ac:dyDescent="0.25">
      <c r="B880" s="15"/>
      <c r="C880" s="15"/>
      <c r="D880" s="15"/>
      <c r="E880" s="16"/>
    </row>
    <row r="881" spans="2:5" x14ac:dyDescent="0.25">
      <c r="B881" s="15"/>
      <c r="C881" s="15"/>
      <c r="D881" s="15"/>
      <c r="E881" s="16"/>
    </row>
    <row r="882" spans="2:5" x14ac:dyDescent="0.25">
      <c r="B882" s="15"/>
      <c r="C882" s="15"/>
      <c r="D882" s="15"/>
      <c r="E882" s="16"/>
    </row>
    <row r="883" spans="2:5" x14ac:dyDescent="0.25">
      <c r="B883" s="15"/>
      <c r="C883" s="15"/>
      <c r="D883" s="15"/>
      <c r="E883" s="16"/>
    </row>
    <row r="884" spans="2:5" x14ac:dyDescent="0.25">
      <c r="B884" s="15"/>
      <c r="C884" s="15"/>
      <c r="D884" s="15"/>
      <c r="E884" s="16"/>
    </row>
    <row r="885" spans="2:5" x14ac:dyDescent="0.25">
      <c r="B885" s="15"/>
      <c r="C885" s="15"/>
      <c r="D885" s="15"/>
      <c r="E885" s="16"/>
    </row>
    <row r="886" spans="2:5" x14ac:dyDescent="0.25">
      <c r="B886" s="15"/>
      <c r="C886" s="15"/>
      <c r="D886" s="15"/>
      <c r="E886" s="16"/>
    </row>
    <row r="887" spans="2:5" x14ac:dyDescent="0.25">
      <c r="B887" s="15"/>
      <c r="C887" s="15"/>
      <c r="D887" s="15"/>
      <c r="E887" s="16"/>
    </row>
    <row r="888" spans="2:5" x14ac:dyDescent="0.25">
      <c r="B888" s="15"/>
      <c r="C888" s="15"/>
      <c r="D888" s="15"/>
      <c r="E888" s="16"/>
    </row>
    <row r="889" spans="2:5" x14ac:dyDescent="0.25">
      <c r="B889" s="15"/>
      <c r="C889" s="15"/>
      <c r="D889" s="15"/>
      <c r="E889" s="16"/>
    </row>
    <row r="890" spans="2:5" x14ac:dyDescent="0.25">
      <c r="B890" s="15"/>
      <c r="C890" s="15"/>
      <c r="D890" s="15"/>
      <c r="E890" s="16"/>
    </row>
    <row r="891" spans="2:5" x14ac:dyDescent="0.25">
      <c r="B891" s="15"/>
      <c r="C891" s="15"/>
      <c r="D891" s="15"/>
      <c r="E891" s="16"/>
    </row>
    <row r="892" spans="2:5" x14ac:dyDescent="0.25">
      <c r="B892" s="15"/>
      <c r="C892" s="15"/>
      <c r="D892" s="15"/>
      <c r="E892" s="16"/>
    </row>
    <row r="893" spans="2:5" x14ac:dyDescent="0.25">
      <c r="B893" s="15"/>
      <c r="C893" s="15"/>
      <c r="D893" s="15"/>
      <c r="E893" s="16"/>
    </row>
    <row r="894" spans="2:5" x14ac:dyDescent="0.25">
      <c r="B894" s="15"/>
      <c r="C894" s="15"/>
      <c r="D894" s="15"/>
      <c r="E894" s="16"/>
    </row>
    <row r="895" spans="2:5" x14ac:dyDescent="0.25">
      <c r="B895" s="15"/>
      <c r="C895" s="15"/>
      <c r="D895" s="15"/>
      <c r="E895" s="16"/>
    </row>
    <row r="896" spans="2:5" x14ac:dyDescent="0.25">
      <c r="B896" s="15"/>
      <c r="C896" s="15"/>
      <c r="D896" s="15"/>
      <c r="E896" s="16"/>
    </row>
    <row r="897" spans="2:5" x14ac:dyDescent="0.25">
      <c r="B897" s="15"/>
      <c r="C897" s="15"/>
      <c r="D897" s="15"/>
      <c r="E897" s="16"/>
    </row>
    <row r="898" spans="2:5" x14ac:dyDescent="0.25">
      <c r="B898" s="15"/>
      <c r="C898" s="15"/>
      <c r="D898" s="15"/>
      <c r="E898" s="16"/>
    </row>
    <row r="899" spans="2:5" x14ac:dyDescent="0.25">
      <c r="B899" s="15"/>
      <c r="C899" s="15"/>
      <c r="D899" s="15"/>
      <c r="E899" s="16"/>
    </row>
    <row r="900" spans="2:5" x14ac:dyDescent="0.25">
      <c r="B900" s="15"/>
      <c r="C900" s="15"/>
      <c r="D900" s="15"/>
      <c r="E900" s="16"/>
    </row>
    <row r="901" spans="2:5" x14ac:dyDescent="0.25">
      <c r="B901" s="15"/>
      <c r="C901" s="15"/>
      <c r="D901" s="15"/>
      <c r="E901" s="16"/>
    </row>
    <row r="902" spans="2:5" x14ac:dyDescent="0.25">
      <c r="B902" s="15"/>
      <c r="C902" s="15"/>
      <c r="D902" s="15"/>
      <c r="E902" s="16"/>
    </row>
    <row r="903" spans="2:5" x14ac:dyDescent="0.25">
      <c r="B903" s="15"/>
      <c r="C903" s="15"/>
      <c r="D903" s="15"/>
      <c r="E903" s="16"/>
    </row>
    <row r="904" spans="2:5" x14ac:dyDescent="0.25">
      <c r="B904" s="15"/>
      <c r="C904" s="15"/>
      <c r="D904" s="15"/>
      <c r="E904" s="16"/>
    </row>
    <row r="905" spans="2:5" x14ac:dyDescent="0.25">
      <c r="B905" s="15"/>
      <c r="C905" s="15"/>
      <c r="D905" s="15"/>
      <c r="E905" s="16"/>
    </row>
    <row r="906" spans="2:5" x14ac:dyDescent="0.25">
      <c r="B906" s="15"/>
      <c r="C906" s="15"/>
      <c r="D906" s="15"/>
      <c r="E906" s="16"/>
    </row>
    <row r="907" spans="2:5" x14ac:dyDescent="0.25">
      <c r="B907" s="15"/>
      <c r="C907" s="15"/>
      <c r="D907" s="15"/>
      <c r="E907" s="16"/>
    </row>
    <row r="908" spans="2:5" x14ac:dyDescent="0.25">
      <c r="B908" s="15"/>
      <c r="C908" s="15"/>
      <c r="D908" s="15"/>
      <c r="E908" s="16"/>
    </row>
    <row r="909" spans="2:5" x14ac:dyDescent="0.25">
      <c r="B909" s="15"/>
      <c r="C909" s="15"/>
      <c r="D909" s="15"/>
      <c r="E909" s="16"/>
    </row>
    <row r="910" spans="2:5" x14ac:dyDescent="0.25">
      <c r="B910" s="15"/>
      <c r="C910" s="15"/>
      <c r="D910" s="15"/>
      <c r="E910" s="16"/>
    </row>
    <row r="911" spans="2:5" x14ac:dyDescent="0.25">
      <c r="B911" s="15"/>
      <c r="C911" s="15"/>
      <c r="D911" s="15"/>
      <c r="E911" s="16"/>
    </row>
    <row r="912" spans="2:5" x14ac:dyDescent="0.25">
      <c r="B912" s="15"/>
      <c r="C912" s="15"/>
      <c r="D912" s="15"/>
      <c r="E912" s="16"/>
    </row>
    <row r="913" spans="2:5" x14ac:dyDescent="0.25">
      <c r="B913" s="15"/>
      <c r="C913" s="15"/>
      <c r="D913" s="15"/>
      <c r="E913" s="16"/>
    </row>
    <row r="914" spans="2:5" x14ac:dyDescent="0.25">
      <c r="B914" s="15"/>
      <c r="C914" s="15"/>
      <c r="D914" s="15"/>
      <c r="E914" s="16"/>
    </row>
    <row r="915" spans="2:5" x14ac:dyDescent="0.25">
      <c r="B915" s="15"/>
      <c r="C915" s="15"/>
      <c r="D915" s="15"/>
      <c r="E915" s="16"/>
    </row>
    <row r="916" spans="2:5" x14ac:dyDescent="0.25">
      <c r="B916" s="15"/>
      <c r="C916" s="15"/>
      <c r="D916" s="15"/>
      <c r="E916" s="16"/>
    </row>
    <row r="917" spans="2:5" x14ac:dyDescent="0.25">
      <c r="B917" s="15"/>
      <c r="C917" s="15"/>
      <c r="D917" s="15"/>
      <c r="E917" s="16"/>
    </row>
    <row r="918" spans="2:5" x14ac:dyDescent="0.25">
      <c r="B918" s="15"/>
      <c r="C918" s="15"/>
      <c r="D918" s="15"/>
      <c r="E918" s="16"/>
    </row>
    <row r="919" spans="2:5" x14ac:dyDescent="0.25">
      <c r="B919" s="15"/>
      <c r="C919" s="15"/>
      <c r="D919" s="15"/>
      <c r="E919" s="16"/>
    </row>
    <row r="920" spans="2:5" x14ac:dyDescent="0.25">
      <c r="B920" s="15"/>
      <c r="C920" s="15"/>
      <c r="D920" s="15"/>
      <c r="E920" s="16"/>
    </row>
    <row r="921" spans="2:5" x14ac:dyDescent="0.25">
      <c r="B921" s="15"/>
      <c r="C921" s="15"/>
      <c r="D921" s="15"/>
      <c r="E921" s="16"/>
    </row>
    <row r="922" spans="2:5" x14ac:dyDescent="0.25">
      <c r="B922" s="15"/>
      <c r="C922" s="15"/>
      <c r="D922" s="15"/>
      <c r="E922" s="16"/>
    </row>
    <row r="923" spans="2:5" x14ac:dyDescent="0.25">
      <c r="B923" s="15"/>
      <c r="C923" s="15"/>
      <c r="D923" s="15"/>
      <c r="E923" s="16"/>
    </row>
    <row r="924" spans="2:5" x14ac:dyDescent="0.25">
      <c r="B924" s="15"/>
      <c r="C924" s="15"/>
      <c r="D924" s="15"/>
      <c r="E924" s="16"/>
    </row>
    <row r="925" spans="2:5" x14ac:dyDescent="0.25">
      <c r="B925" s="15"/>
      <c r="C925" s="15"/>
      <c r="D925" s="15"/>
      <c r="E925" s="16"/>
    </row>
    <row r="926" spans="2:5" x14ac:dyDescent="0.25">
      <c r="B926" s="15"/>
      <c r="C926" s="15"/>
      <c r="D926" s="15"/>
      <c r="E926" s="16"/>
    </row>
    <row r="927" spans="2:5" x14ac:dyDescent="0.25">
      <c r="B927" s="15"/>
      <c r="C927" s="15"/>
      <c r="D927" s="15"/>
      <c r="E927" s="16"/>
    </row>
    <row r="928" spans="2:5" x14ac:dyDescent="0.25">
      <c r="B928" s="15"/>
      <c r="C928" s="15"/>
      <c r="D928" s="15"/>
      <c r="E928" s="16"/>
    </row>
    <row r="929" spans="2:5" x14ac:dyDescent="0.25">
      <c r="B929" s="15"/>
      <c r="C929" s="15"/>
      <c r="D929" s="15"/>
      <c r="E929" s="16"/>
    </row>
    <row r="930" spans="2:5" x14ac:dyDescent="0.25">
      <c r="B930" s="15"/>
      <c r="C930" s="15"/>
      <c r="D930" s="15"/>
      <c r="E930" s="16"/>
    </row>
    <row r="931" spans="2:5" x14ac:dyDescent="0.25">
      <c r="B931" s="15"/>
      <c r="C931" s="15"/>
      <c r="D931" s="15"/>
      <c r="E931" s="16"/>
    </row>
    <row r="932" spans="2:5" x14ac:dyDescent="0.25">
      <c r="B932" s="15"/>
      <c r="C932" s="15"/>
      <c r="D932" s="15"/>
      <c r="E932" s="16"/>
    </row>
    <row r="933" spans="2:5" x14ac:dyDescent="0.25">
      <c r="B933" s="15"/>
      <c r="C933" s="15"/>
      <c r="D933" s="15"/>
      <c r="E933" s="16"/>
    </row>
    <row r="934" spans="2:5" x14ac:dyDescent="0.25">
      <c r="B934" s="15"/>
      <c r="C934" s="15"/>
      <c r="D934" s="15"/>
      <c r="E934" s="16"/>
    </row>
    <row r="935" spans="2:5" x14ac:dyDescent="0.25">
      <c r="B935" s="15"/>
      <c r="C935" s="15"/>
      <c r="D935" s="15"/>
      <c r="E935" s="16"/>
    </row>
    <row r="936" spans="2:5" x14ac:dyDescent="0.25">
      <c r="B936" s="15"/>
      <c r="C936" s="15"/>
      <c r="D936" s="15"/>
      <c r="E936" s="16"/>
    </row>
    <row r="937" spans="2:5" x14ac:dyDescent="0.25">
      <c r="B937" s="15"/>
      <c r="C937" s="15"/>
      <c r="D937" s="15"/>
      <c r="E937" s="16"/>
    </row>
    <row r="938" spans="2:5" x14ac:dyDescent="0.25">
      <c r="B938" s="15"/>
      <c r="C938" s="15"/>
      <c r="D938" s="15"/>
      <c r="E938" s="16"/>
    </row>
    <row r="939" spans="2:5" x14ac:dyDescent="0.25">
      <c r="B939" s="15"/>
      <c r="C939" s="15"/>
      <c r="D939" s="15"/>
      <c r="E939" s="16"/>
    </row>
    <row r="940" spans="2:5" x14ac:dyDescent="0.25">
      <c r="B940" s="15"/>
      <c r="C940" s="15"/>
      <c r="D940" s="15"/>
      <c r="E940" s="16"/>
    </row>
    <row r="941" spans="2:5" x14ac:dyDescent="0.25">
      <c r="B941" s="15"/>
      <c r="C941" s="15"/>
      <c r="D941" s="15"/>
      <c r="E941" s="16"/>
    </row>
    <row r="942" spans="2:5" x14ac:dyDescent="0.25">
      <c r="B942" s="15"/>
      <c r="C942" s="15"/>
      <c r="D942" s="15"/>
      <c r="E942" s="16"/>
    </row>
    <row r="943" spans="2:5" x14ac:dyDescent="0.25">
      <c r="B943" s="15"/>
      <c r="C943" s="15"/>
      <c r="D943" s="15"/>
      <c r="E943" s="16"/>
    </row>
    <row r="944" spans="2:5" x14ac:dyDescent="0.25">
      <c r="B944" s="15"/>
      <c r="C944" s="15"/>
      <c r="D944" s="15"/>
      <c r="E944" s="16"/>
    </row>
    <row r="945" spans="2:5" x14ac:dyDescent="0.25">
      <c r="B945" s="15"/>
      <c r="C945" s="15"/>
      <c r="D945" s="15"/>
      <c r="E945" s="16"/>
    </row>
    <row r="946" spans="2:5" x14ac:dyDescent="0.25">
      <c r="B946" s="15"/>
      <c r="C946" s="15"/>
      <c r="D946" s="15"/>
      <c r="E946" s="16"/>
    </row>
    <row r="947" spans="2:5" x14ac:dyDescent="0.25">
      <c r="B947" s="15"/>
      <c r="C947" s="15"/>
      <c r="D947" s="15"/>
      <c r="E947" s="16"/>
    </row>
    <row r="948" spans="2:5" x14ac:dyDescent="0.25">
      <c r="B948" s="15"/>
      <c r="C948" s="15"/>
      <c r="D948" s="15"/>
      <c r="E948" s="16"/>
    </row>
    <row r="949" spans="2:5" x14ac:dyDescent="0.25">
      <c r="B949" s="15"/>
      <c r="C949" s="15"/>
      <c r="D949" s="15"/>
      <c r="E949" s="16"/>
    </row>
    <row r="950" spans="2:5" x14ac:dyDescent="0.25">
      <c r="B950" s="15"/>
      <c r="C950" s="15"/>
      <c r="D950" s="15"/>
      <c r="E950" s="16"/>
    </row>
    <row r="951" spans="2:5" x14ac:dyDescent="0.25">
      <c r="B951" s="15"/>
      <c r="C951" s="15"/>
      <c r="D951" s="15"/>
      <c r="E951" s="16"/>
    </row>
    <row r="952" spans="2:5" x14ac:dyDescent="0.25">
      <c r="B952" s="15"/>
      <c r="C952" s="15"/>
      <c r="D952" s="15"/>
      <c r="E952" s="16"/>
    </row>
    <row r="953" spans="2:5" x14ac:dyDescent="0.25">
      <c r="B953" s="15"/>
      <c r="C953" s="15"/>
      <c r="D953" s="15"/>
      <c r="E953" s="16"/>
    </row>
    <row r="954" spans="2:5" x14ac:dyDescent="0.25">
      <c r="B954" s="15"/>
      <c r="C954" s="15"/>
      <c r="D954" s="15"/>
      <c r="E954" s="16"/>
    </row>
    <row r="955" spans="2:5" x14ac:dyDescent="0.25">
      <c r="B955" s="15"/>
      <c r="C955" s="15"/>
      <c r="D955" s="15"/>
      <c r="E955" s="16"/>
    </row>
    <row r="956" spans="2:5" x14ac:dyDescent="0.25">
      <c r="B956" s="15"/>
      <c r="C956" s="15"/>
      <c r="D956" s="15"/>
      <c r="E956" s="16"/>
    </row>
    <row r="957" spans="2:5" x14ac:dyDescent="0.25">
      <c r="B957" s="15"/>
      <c r="C957" s="15"/>
      <c r="D957" s="15"/>
      <c r="E957" s="16"/>
    </row>
    <row r="958" spans="2:5" x14ac:dyDescent="0.25">
      <c r="B958" s="15"/>
      <c r="C958" s="15"/>
      <c r="D958" s="15"/>
      <c r="E958" s="16"/>
    </row>
    <row r="959" spans="2:5" x14ac:dyDescent="0.25">
      <c r="B959" s="15"/>
      <c r="C959" s="15"/>
      <c r="D959" s="15"/>
      <c r="E959" s="16"/>
    </row>
    <row r="960" spans="2:5" x14ac:dyDescent="0.25">
      <c r="B960" s="15"/>
      <c r="C960" s="15"/>
      <c r="D960" s="15"/>
      <c r="E960" s="16"/>
    </row>
    <row r="961" spans="2:5" x14ac:dyDescent="0.25">
      <c r="B961" s="15"/>
      <c r="C961" s="15"/>
      <c r="D961" s="15"/>
      <c r="E961" s="16"/>
    </row>
    <row r="962" spans="2:5" x14ac:dyDescent="0.25">
      <c r="B962" s="15"/>
      <c r="C962" s="15"/>
      <c r="D962" s="15"/>
      <c r="E962" s="16"/>
    </row>
    <row r="963" spans="2:5" x14ac:dyDescent="0.25">
      <c r="B963" s="15"/>
      <c r="C963" s="15"/>
      <c r="D963" s="15"/>
      <c r="E963" s="16"/>
    </row>
    <row r="964" spans="2:5" x14ac:dyDescent="0.25">
      <c r="B964" s="15"/>
      <c r="C964" s="15"/>
      <c r="D964" s="15"/>
      <c r="E964" s="16"/>
    </row>
    <row r="965" spans="2:5" x14ac:dyDescent="0.25">
      <c r="B965" s="15"/>
      <c r="C965" s="15"/>
      <c r="D965" s="15"/>
      <c r="E965" s="16"/>
    </row>
    <row r="966" spans="2:5" x14ac:dyDescent="0.25">
      <c r="B966" s="15"/>
      <c r="C966" s="15"/>
      <c r="D966" s="15"/>
      <c r="E966" s="16"/>
    </row>
    <row r="967" spans="2:5" x14ac:dyDescent="0.25">
      <c r="B967" s="15"/>
      <c r="C967" s="15"/>
      <c r="D967" s="15"/>
      <c r="E967" s="16"/>
    </row>
    <row r="968" spans="2:5" x14ac:dyDescent="0.25">
      <c r="B968" s="15"/>
      <c r="C968" s="15"/>
      <c r="D968" s="15"/>
      <c r="E968" s="16"/>
    </row>
    <row r="969" spans="2:5" x14ac:dyDescent="0.25">
      <c r="B969" s="15"/>
      <c r="C969" s="15"/>
      <c r="D969" s="15"/>
      <c r="E969" s="16"/>
    </row>
    <row r="970" spans="2:5" x14ac:dyDescent="0.25">
      <c r="B970" s="15"/>
      <c r="C970" s="15"/>
      <c r="D970" s="15"/>
      <c r="E970" s="16"/>
    </row>
    <row r="971" spans="2:5" x14ac:dyDescent="0.25">
      <c r="B971" s="15"/>
      <c r="C971" s="15"/>
      <c r="D971" s="15"/>
      <c r="E971" s="16"/>
    </row>
    <row r="972" spans="2:5" x14ac:dyDescent="0.25">
      <c r="B972" s="15"/>
      <c r="C972" s="15"/>
      <c r="D972" s="15"/>
      <c r="E972" s="16"/>
    </row>
    <row r="973" spans="2:5" x14ac:dyDescent="0.25">
      <c r="B973" s="15"/>
      <c r="C973" s="15"/>
      <c r="D973" s="15"/>
      <c r="E973" s="16"/>
    </row>
    <row r="974" spans="2:5" x14ac:dyDescent="0.25">
      <c r="B974" s="15"/>
      <c r="C974" s="15"/>
      <c r="D974" s="15"/>
      <c r="E974" s="16"/>
    </row>
    <row r="975" spans="2:5" x14ac:dyDescent="0.25">
      <c r="B975" s="15"/>
      <c r="C975" s="15"/>
      <c r="D975" s="15"/>
      <c r="E975" s="16"/>
    </row>
    <row r="976" spans="2:5" x14ac:dyDescent="0.25">
      <c r="B976" s="15"/>
      <c r="C976" s="15"/>
      <c r="D976" s="15"/>
      <c r="E976" s="16"/>
    </row>
    <row r="977" spans="2:5" x14ac:dyDescent="0.25">
      <c r="B977" s="15"/>
      <c r="C977" s="15"/>
      <c r="D977" s="15"/>
      <c r="E977" s="16"/>
    </row>
    <row r="978" spans="2:5" x14ac:dyDescent="0.25">
      <c r="B978" s="15"/>
      <c r="C978" s="15"/>
      <c r="D978" s="15"/>
      <c r="E978" s="16"/>
    </row>
    <row r="979" spans="2:5" x14ac:dyDescent="0.25">
      <c r="B979" s="15"/>
      <c r="C979" s="15"/>
      <c r="D979" s="15"/>
      <c r="E979" s="16"/>
    </row>
    <row r="980" spans="2:5" x14ac:dyDescent="0.25">
      <c r="B980" s="15"/>
      <c r="C980" s="15"/>
      <c r="D980" s="15"/>
      <c r="E980" s="16"/>
    </row>
    <row r="981" spans="2:5" x14ac:dyDescent="0.25">
      <c r="B981" s="15"/>
      <c r="C981" s="15"/>
      <c r="D981" s="15"/>
      <c r="E981" s="16"/>
    </row>
    <row r="982" spans="2:5" x14ac:dyDescent="0.25">
      <c r="B982" s="15"/>
      <c r="C982" s="15"/>
      <c r="D982" s="15"/>
      <c r="E982" s="16"/>
    </row>
    <row r="983" spans="2:5" x14ac:dyDescent="0.25">
      <c r="B983" s="15"/>
      <c r="C983" s="15"/>
      <c r="D983" s="15"/>
      <c r="E983" s="16"/>
    </row>
    <row r="984" spans="2:5" x14ac:dyDescent="0.25">
      <c r="B984" s="15"/>
      <c r="C984" s="15"/>
      <c r="D984" s="15"/>
      <c r="E984" s="16"/>
    </row>
    <row r="985" spans="2:5" x14ac:dyDescent="0.25">
      <c r="B985" s="15"/>
      <c r="C985" s="15"/>
      <c r="D985" s="15"/>
      <c r="E985" s="16"/>
    </row>
    <row r="986" spans="2:5" x14ac:dyDescent="0.25">
      <c r="B986" s="15"/>
      <c r="C986" s="15"/>
      <c r="D986" s="15"/>
      <c r="E986" s="16"/>
    </row>
    <row r="987" spans="2:5" x14ac:dyDescent="0.25">
      <c r="B987" s="15"/>
      <c r="C987" s="15"/>
      <c r="D987" s="15"/>
      <c r="E987" s="16"/>
    </row>
    <row r="988" spans="2:5" x14ac:dyDescent="0.25">
      <c r="B988" s="15"/>
      <c r="C988" s="15"/>
      <c r="D988" s="15"/>
      <c r="E988" s="16"/>
    </row>
    <row r="989" spans="2:5" x14ac:dyDescent="0.25">
      <c r="B989" s="15"/>
      <c r="C989" s="15"/>
      <c r="D989" s="15"/>
      <c r="E989" s="16"/>
    </row>
    <row r="990" spans="2:5" x14ac:dyDescent="0.25">
      <c r="B990" s="15"/>
      <c r="C990" s="15"/>
      <c r="D990" s="15"/>
      <c r="E990" s="16"/>
    </row>
    <row r="991" spans="2:5" x14ac:dyDescent="0.25">
      <c r="B991" s="15"/>
      <c r="C991" s="15"/>
      <c r="D991" s="15"/>
      <c r="E991" s="1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1ST TERM ACCOUNT</vt:lpstr>
      <vt:lpstr>1ST TERM PAY LOG</vt:lpstr>
      <vt:lpstr>1ST TERM REMIT</vt:lpstr>
      <vt:lpstr>'1ST TERM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cp:lastPrinted>2026-07-27T19:44:36Z</cp:lastPrinted>
  <dcterms:created xsi:type="dcterms:W3CDTF">2022-01-11T08:30:00Z</dcterms:created>
  <dcterms:modified xsi:type="dcterms:W3CDTF">2026-10-12T05:35:58Z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